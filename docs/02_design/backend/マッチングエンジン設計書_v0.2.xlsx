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表紙・目次" sheetId="1" r:id="rId4"/>
    <sheet state="visible" name="01_第1章_アーキテクチャ" sheetId="2" r:id="rId5"/>
    <sheet state="visible" name="02_第2章_入力要素定義" sheetId="3" r:id="rId6"/>
    <sheet state="visible" name="03_第3章_スコアリング仕様" sheetId="4" r:id="rId7"/>
    <sheet state="visible" name="04_第4章_API仕様" sheetId="5" r:id="rId8"/>
    <sheet state="visible" name="05_第5章_AI連携仕様" sheetId="6" r:id="rId9"/>
    <sheet state="visible" name="06_暫定事項TODO一覧" sheetId="7" r:id="rId10"/>
  </sheets>
  <definedNames/>
  <calcPr/>
  <extLst>
    <ext uri="GoogleSheetsCustomDataVersion2">
      <go:sheetsCustomData xmlns:go="http://customooxmlschemas.google.com/" r:id="rId11" roundtripDataChecksum="QG9M/xYewBZgu2KjcpQQOLRlfI4Wbv9qtCOKoAPbY88="/>
    </ext>
  </extLst>
</workbook>
</file>

<file path=xl/sharedStrings.xml><?xml version="1.0" encoding="utf-8"?>
<sst xmlns="http://schemas.openxmlformats.org/spreadsheetml/2006/main" count="979" uniqueCount="701">
  <si>
    <t>マッチングエンジン設計書</t>
  </si>
  <si>
    <t>国内SES向け 人材・案件マッチングシステム</t>
  </si>
  <si>
    <t>文書ID</t>
  </si>
  <si>
    <t>DES-MATCH-001</t>
  </si>
  <si>
    <t>バージョン</t>
  </si>
  <si>
    <t>0.2 (たたき台 / WIP)</t>
  </si>
  <si>
    <t>作成日</t>
  </si>
  <si>
    <t>2026-04-17</t>
  </si>
  <si>
    <t>作成者</t>
  </si>
  <si>
    <t>黒木 隆伍 (Python / AI処理・スコア計算)</t>
  </si>
  <si>
    <t>レビュアー</t>
  </si>
  <si>
    <t>吉田 勇希 (Python/インフラリーダー) / 岡 大貴 (Laravel/Reactリーダー) / 高橋 朋也 (PM)</t>
  </si>
  <si>
    <t>対象</t>
  </si>
  <si>
    <t>人材×案件マッチング計算エンジン（スコアリング + AI推薦）</t>
  </si>
  <si>
    <t>関連ドキュメント</t>
  </si>
  <si>
    <t>プロジェクト要件＋α.pptx / 仕様QA表.xlsx / ADR v2 / 画面WF v2</t>
  </si>
  <si>
    <t>改訂履歴</t>
  </si>
  <si>
    <t>Ver</t>
  </si>
  <si>
    <t>日付</t>
  </si>
  <si>
    <t>担当</t>
  </si>
  <si>
    <t>改訂内容</t>
  </si>
  <si>
    <t>0.1</t>
  </si>
  <si>
    <t>黒木</t>
  </si>
  <si>
    <t>第1章（アーキテクチャ）ドラフト作成（暫定）</t>
  </si>
  <si>
    <t>0.2</t>
  </si>
  <si>
    <t>構造化フォーマットに再構築。第2〜5章追加、暫定事項一覧シート追加</t>
  </si>
  <si>
    <t>目次</t>
  </si>
  <si>
    <t>シート</t>
  </si>
  <si>
    <t>内容</t>
  </si>
  <si>
    <t>01_第1章_アーキテクチャ</t>
  </si>
  <si>
    <t>システム構成 / 通信方式 / データ連携方針</t>
  </si>
  <si>
    <t>02_第2章_入力要素定義</t>
  </si>
  <si>
    <t>スコア計算・除外・AI処理に使用する17要素（確定15 + 暫定2）</t>
  </si>
  <si>
    <t>03_第3章_スコアリング仕様</t>
  </si>
  <si>
    <t>100点満点の配点・除外条件・ランク判定</t>
  </si>
  <si>
    <t>04_第4章_API仕様</t>
  </si>
  <si>
    <t>Laravel ⇔ Python 間 REST API（FastAPI）</t>
  </si>
  <si>
    <t>05_第5章_AI連携仕様</t>
  </si>
  <si>
    <t>Bedrock (Claude 3.5 Sonnet) 呼出仕様</t>
  </si>
  <si>
    <t>06_暫定事項TODO一覧</t>
  </si>
  <si>
    <t>未確定・QA回答待ち項目のトラッキング</t>
  </si>
  <si>
    <t>【凡例】</t>
  </si>
  <si>
    <t>【確定】</t>
  </si>
  <si>
    <t>仕様確定・ADRまたはQAで回答済</t>
  </si>
  <si>
    <t>【暫定】</t>
  </si>
  <si>
    <t>仮置き・QA回答待ち / チーム内検討中</t>
  </si>
  <si>
    <t>【AI】</t>
  </si>
  <si>
    <t>AI（LLM）が処理に関与する要素</t>
  </si>
  <si>
    <t>第1章 システムアーキテクチャ設計</t>
  </si>
  <si>
    <t>Python側マッチングエンジンが担う範囲の基盤・通信・データ連携の方針を整理する。</t>
  </si>
  <si>
    <t>1.1 システム構成</t>
  </si>
  <si>
    <t>項目</t>
  </si>
  <si>
    <t>決定内容</t>
  </si>
  <si>
    <t>選定理由 / 根拠</t>
  </si>
  <si>
    <t>ステータス</t>
  </si>
  <si>
    <t>関連QA / ADR</t>
  </si>
  <si>
    <t>実行基盤</t>
  </si>
  <si>
    <t>AWS ECS (Fargate) / 常駐型コンテナ</t>
  </si>
  <si>
    <t>岡氏提示のアーキテクチャ案に基づきLaravel側とインフラ管理を統一。QA#30の待機時間（同期5〜10秒）、QA#47の同期通信要件を満たすため起動遅延のない常駐型を採用</t>
  </si>
  <si>
    <t>QA#30 / QA#47 / ADR v2 §2</t>
  </si>
  <si>
    <t>AIモデル</t>
  </si>
  <si>
    <t>AWS Bedrock (Claude 3.5 Sonnet)</t>
  </si>
  <si>
    <t>QA#29「プロバイダ依存を避けつつ商用LLM前提」およびAWS統一方針に準拠。AWS内完結でネットワーク・認証設計がシンプル</t>
  </si>
  <si>
    <t>QA#29</t>
  </si>
  <si>
    <t>コンテナ配置</t>
  </si>
  <si>
    <t>Laravelとは別ECSサービス（別タスク）</t>
  </si>
  <si>
    <t>PHPとPythonのランタイム同居を避け、デプロイ・スケールを独立させるため</t>
  </si>
  <si>
    <t>ADR v2 §3</t>
  </si>
  <si>
    <t>アプリサーバ</t>
  </si>
  <si>
    <t>Uvicorn + FastAPI (ASGI)</t>
  </si>
  <si>
    <t>PythonのASGIデファクト。非同期I/O対応でBedrock呼出時のスループット確保</t>
  </si>
  <si>
    <t>ADR v2 §4</t>
  </si>
  <si>
    <t>1.2 通信方式</t>
  </si>
  <si>
    <t>プロトコル</t>
  </si>
  <si>
    <t>REST API (HTTP/JSON)</t>
  </si>
  <si>
    <t>LaravelとPythonのデプロイ単位を物理的に分離。同期リクエスト/レスポンスが明瞭で未経験者でも実装しやすい</t>
  </si>
  <si>
    <t>ADR v2 §1 / §3</t>
  </si>
  <si>
    <t>通信性質</t>
  </si>
  <si>
    <t>同期通信</t>
  </si>
  <si>
    <t>QA#47「処理完了まで画面で待機する方式」に基づく。ユーザーの検索アクションに対して即時に結果を返却</t>
  </si>
  <si>
    <t>QA#47</t>
  </si>
  <si>
    <t>サービス間疎通</t>
  </si>
  <si>
    <t>ECS Service Discovery / 内部DNS</t>
  </si>
  <si>
    <t>VPC内部通信のみ。外部公開はALB経由のLaravelのみ</t>
  </si>
  <si>
    <t>ADR v2 §6</t>
  </si>
  <si>
    <t>タイムアウト</t>
  </si>
  <si>
    <t>クライアント側10秒 / サーバ側15秒</t>
  </si>
  <si>
    <t>QA#30の許容待機時間5〜10秒を踏まえた暫定値。Bedrock応答遅延時のリトライ方針は第5章参照</t>
  </si>
  <si>
    <t>QA#30</t>
  </si>
  <si>
    <t>1.3 データ連携方針</t>
  </si>
  <si>
    <t>データ取得（Python側）</t>
  </si>
  <si>
    <t>Laravelから受け取ったID（talent_id / project_ids等）をキーに、RDS (MySQL) および S3 から Python が直接取得</t>
  </si>
  <si>
    <t>Laravelが大量データを中継するとメモリ負荷になる。計算特化の責務と相性がよく、大量件数のマッチング計算でもスループットを確保できる</t>
  </si>
  <si>
    <t>QA#48（チーム判断）</t>
  </si>
  <si>
    <t>データ書き込み</t>
  </si>
  <si>
    <t>Pythonは計算結果の返却に特化。DB書込（パイプライン登録等）はLaravel側で集約</t>
  </si>
  <si>
    <t>スコアは QA#45 によりオンデマンド計算・DB保存なしと確定。書込責務を Laravel に寄せて責務分離</t>
  </si>
  <si>
    <t>QA#45 / QA#48</t>
  </si>
  <si>
    <t>職務経歴書ファイル (S3)</t>
  </si>
  <si>
    <t>PythonがS3から直接取得 → LLM要約処理</t>
  </si>
  <si>
    <t>バイナリをLaravel経由にするとメモリ負荷大。S3 Presigned URL または IAM Role 経由で直接読取</t>
  </si>
  <si>
    <t>QA#48 / ADR v2 §8</t>
  </si>
  <si>
    <t>認証・認可</t>
  </si>
  <si>
    <t>IAM Role for ECS Task + Secrets Manager</t>
  </si>
  <si>
    <t>DB接続情報・Bedrock APIキーをコード外で管理。最小権限の原則</t>
  </si>
  <si>
    <t>QA#25（セキュリティ強め）</t>
  </si>
  <si>
    <t>【注釈・QA#48】 QA#48 で顧客より「チーム内にて決定（コスト・操作性・作りやすさ観点）」との回答を受けているため、上表 1.3節 の「Python 直接接続方式」はバックエンドチーム判断として本設計で推奨・採用する。Laravel 経由方式は API 往復によるレイテンシ増・Laravel 側のメモリ/帯域負荷のため採用しない。運用実績に応じて再評価する余地は残す。</t>
  </si>
  <si>
    <t>第2章 マッチング計算 入力要素定義</t>
  </si>
  <si>
    <t>スコア計算・AI処理・除外判定に使用するデータ要素の一覧。確定15項目 + 暫定2項目の計17要素。</t>
  </si>
  <si>
    <t>#</t>
  </si>
  <si>
    <t>要素名</t>
  </si>
  <si>
    <t>由来エンティティ</t>
  </si>
  <si>
    <t>データ型</t>
  </si>
  <si>
    <t>NULL可否</t>
  </si>
  <si>
    <t>格納元（想定テーブル/項目）</t>
  </si>
  <si>
    <t>利用目的</t>
  </si>
  <si>
    <t>暫定フラグ</t>
  </si>
  <si>
    <t>関連QA</t>
  </si>
  <si>
    <t>1</t>
  </si>
  <si>
    <t>経験スキルID</t>
  </si>
  <si>
    <t>人材</t>
  </si>
  <si>
    <t>INT配列 (JOIN)</t>
  </si>
  <si>
    <t>必須</t>
  </si>
  <si>
    <t>talent_skills.skill_id / skills_master</t>
  </si>
  <si>
    <t>F1: 必須スキル名一致判定 / S1: 必須スキル経験年数充足度の識別子 / S3: 尚可スキル一致(10点)</t>
  </si>
  <si>
    <t>要件書 §スコア</t>
  </si>
  <si>
    <t>2</t>
  </si>
  <si>
    <t>経験年数</t>
  </si>
  <si>
    <t>DECIMAL(4,1) 年</t>
  </si>
  <si>
    <t>talent_skills.years</t>
  </si>
  <si>
    <t>S1: 必須スキル各々の (経験年数 / 必要年数) を比例和方式で集計（F1では使用しない）</t>
  </si>
  <si>
    <t>3</t>
  </si>
  <si>
    <t>経験工程</t>
  </si>
  <si>
    <t>ENUM配列</t>
  </si>
  <si>
    <t>talent_processes.process_code（要件定義/基本設計/詳細設計/開発/テスト/保守運用）</t>
  </si>
  <si>
    <t>スコア: 工程経験一致(20点)</t>
  </si>
  <si>
    <t>仕様QA表!人材情報ヒアリング（QA#11 で確定）</t>
  </si>
  <si>
    <t>4</t>
  </si>
  <si>
    <t>顧客折衝経験</t>
  </si>
  <si>
    <t>BOOL (有/無)</t>
  </si>
  <si>
    <t>talents.has_client_facing_exp</t>
  </si>
  <si>
    <t>スコア: 顧客折衝/人物要件一致(5点)</t>
  </si>
  <si>
    <t>5</t>
  </si>
  <si>
    <t>最寄駅ID</t>
  </si>
  <si>
    <t>INT</t>
  </si>
  <si>
    <t>talents.nearest_station_id / stations_master</t>
  </si>
  <si>
    <t>スコア: 勤務地/通勤条件一致(10点)の入力</t>
  </si>
  <si>
    <t>QA#59（マスタ方式未確定）</t>
  </si>
  <si>
    <t>6</t>
  </si>
  <si>
    <t>勤務地駅ID</t>
  </si>
  <si>
    <t>案件</t>
  </si>
  <si>
    <t>projects.worksite_station_id / stations_master</t>
  </si>
  <si>
    <t>QA#59</t>
  </si>
  <si>
    <t>7</t>
  </si>
  <si>
    <t>稼働可能時期</t>
  </si>
  <si>
    <t>DATE</t>
  </si>
  <si>
    <t>talents.available_from</t>
  </si>
  <si>
    <t>スコア: 稼働開始時期一致(5点)の入力</t>
  </si>
  <si>
    <t>8</t>
  </si>
  <si>
    <t>参画開始時期</t>
  </si>
  <si>
    <t>projects.start_date</t>
  </si>
  <si>
    <t>仕様QA表!案件情報ヒアリング（QA#11 で確定）</t>
  </si>
  <si>
    <t>9</t>
  </si>
  <si>
    <t>稼働形態</t>
  </si>
  <si>
    <t>人材+案件</t>
  </si>
  <si>
    <t>ENUM (常駐/一部リモート可/フルリモート)</t>
  </si>
  <si>
    <t>talents.work_style_tags[] / projects.work_style</t>
  </si>
  <si>
    <t>スコア: 勤務形態一致(10点)</t>
  </si>
  <si>
    <t>仕様QA表!人材・案件情報ヒアリング（QA#11 で確定）</t>
  </si>
  <si>
    <t>10</t>
  </si>
  <si>
    <t>人材希望単価</t>
  </si>
  <si>
    <t>INT (万円)</t>
  </si>
  <si>
    <t>任意</t>
  </si>
  <si>
    <t>talents.desired_monthly_rate</t>
  </si>
  <si>
    <t>スコア: 単価一致(10点)の入力。NULLは「指定なし=加点対象」</t>
  </si>
  <si>
    <t>11</t>
  </si>
  <si>
    <t>案件単価（下限〜上限）</t>
  </si>
  <si>
    <t>INT × 2 (万円)</t>
  </si>
  <si>
    <t>projects.rate_min / projects.rate_max（※QA#14「スキル見合い」許容時はNULL許可）</t>
  </si>
  <si>
    <t>スコア: 単価一致(10点)の入力</t>
  </si>
  <si>
    <t>QA#14</t>
  </si>
  <si>
    <t>12</t>
  </si>
  <si>
    <t>案件商流</t>
  </si>
  <si>
    <t>ENUM (プライム/2次) ※ 3次以上は登録対象外</t>
  </si>
  <si>
    <t>projects.distribution_tier</t>
  </si>
  <si>
    <t>除外条件 F2 で使用。3次以上の案件は自社が入ると必ず4社間契約以上になるため、案件商流の選択肢から除外（プライム/2次のみ運用）。営業判断用情報も兼ねる。</t>
  </si>
  <si>
    <t>仕様QA表!案件情報ヒアリング r8 / QA#60</t>
  </si>
  <si>
    <t>13</t>
  </si>
  <si>
    <t>自己PRテキスト</t>
  </si>
  <si>
    <t>TEXT (最大4000字)</t>
  </si>
  <si>
    <t>talents.self_pr</t>
  </si>
  <si>
    <t>AI: 推薦理由生成の入力</t>
  </si>
  <si>
    <t>要件書 §AI</t>
  </si>
  <si>
    <t>14</t>
  </si>
  <si>
    <t>案件詳細内容</t>
  </si>
  <si>
    <t>projects.description</t>
  </si>
  <si>
    <t>AI: 推薦理由生成 / 不足条件説明 の入力</t>
  </si>
  <si>
    <t>15</t>
  </si>
  <si>
    <t>職務経歴書ファイル</t>
  </si>
  <si>
    <t>FILE (PDF/DOCX, S3 URI)</t>
  </si>
  <si>
    <t>talents.resume_s3_key (S3 bucket: ses-resumes/)</t>
  </si>
  <si>
    <t>AI: 職務経歴要約の入力 (LLMに渡す前にテキスト抽出)</t>
  </si>
  <si>
    <t>QA#13 / ADR v2 §8</t>
  </si>
  <si>
    <t>16</t>
  </si>
  <si>
    <t>所属区分</t>
  </si>
  <si>
    <t>ENUM (自社プロパー/パートナー/個人事業主)</t>
  </si>
  <si>
    <t>必須（予定）</t>
  </si>
  <si>
    <t>talents.employment_type</t>
  </si>
  <si>
    <t>除外条件 F2 に利用：案件商流（#12）との組合せで提案不可案件を除外（暫定：プライム × 個人事業主 → 除外）。QA#60 確定後に他の組合せを追加。</t>
  </si>
  <si>
    <t>QA#60（未着手）</t>
  </si>
  <si>
    <t>17</t>
  </si>
  <si>
    <t>希望通勤時間</t>
  </si>
  <si>
    <t>ENUM (30/45/60/90分以内)</t>
  </si>
  <si>
    <t>talents.max_commute_minutes</t>
  </si>
  <si>
    <t>スコア S5：希望通勤時間と実通勤時間の差分に基づく段階配点（3.2節 S5 参照）。#17未入力時は従来閾値（実通勤時間の絶対値）で暫定算定。</t>
  </si>
  <si>
    <t>QA#61（未着手）</t>
  </si>
  <si>
    <t>注記</t>
  </si>
  <si>
    <t>・本章の入力要素は「スコア計算」および「AI処理」に使用するものに限定している。営業担当の閲覧用メタ項目（特記事項/顧客名等）は対象外。</t>
  </si>
  <si>
    <t>・「格納元」欄の命名はたたき台。DB論理設計（岡リーダー担当）確定後に整合する。</t>
  </si>
  <si>
    <t>・QA#11 にて顧客から「人材情報・案件情報ヒアリングの2シートに整理した項目」として確認済。出典は 仕様QA表.xlsx の『人材情報ヒアリング』『案件情報ヒアリング』シート。顔写真は QA#46 で「不要」回答。</t>
  </si>
  <si>
    <t>・案件情報の「顧客折衝経験」要否は案件側ENUM（要 / 不問）。人材側BOOL（有 / 無）とマッチング時に対応付ける（第3章 3.2節 参照）。</t>
  </si>
  <si>
    <t>・職務経歴書ファイルのテキスト抽出はPython側で実施（pypdf等ライブラリ）。S3アクセスはIAM Role経由。</t>
  </si>
  <si>
    <t>第3章 スコアリングロジック仕様</t>
  </si>
  <si>
    <t>100点満点・ルールベース。透明性重視のためブラックボックス化させない。QA#31（配点確定）の回答前提で暫定運用。</t>
  </si>
  <si>
    <t>3.1 除外条件（ハードフィルタ：スコア計算前に適用）
※ステータスによる絞り込み（案件=募集中 / 人材=提案可 等）は API 呼び出し側で実施済みであることを前提とする。</t>
  </si>
  <si>
    <t>除外条件</t>
  </si>
  <si>
    <t>判定ロジック</t>
  </si>
  <si>
    <t>除外後の扱い</t>
  </si>
  <si>
    <t>F1</t>
  </si>
  <si>
    <t>案件の必須スキルを1つでも保有していない（スキル名レベル）</t>
  </si>
  <si>
    <t>案件の必須スキル名すべてについて、人材の経験スキル名に含まれるかを論理積で判定。1つでも保有していない場合は除外。※経験年数の不足はここでは除外せず、S1で減点する（案A方針）。</t>
  </si>
  <si>
    <t>マッチング結果に含めない</t>
  </si>
  <si>
    <t>要件書 §案件情報ヒアリング / QA#11</t>
  </si>
  <si>
    <t>F2</t>
  </si>
  <si>
    <t>案件商流 × 人材所属区分の不整合 / 4社間契約回避</t>
  </si>
  <si>
    <t>サブルール(a) 案件商流が「3次」以上 → 即除外（自社が入ると必ず4社間契約以上になるため、対象外）。
サブルール(b) 商流階層計算: 最終商流階層 = 案件商流階層 + 自社経由の追加深度 が 4 以上 → 除外。
  案件商流階層: プライム=1 / 2次=2
  自社経由の追加深度: 自社プロパー=+1 / パートナー=+2 / 個人事業主=+1
サブルール(c) 業務ルール（暫定）: プライム × 個人事業主 → 除外（プライム企業の直契約コンプライアンス、QA#60 確定で見直し）。
判定マトリクスは §3.1 補足参照。</t>
  </si>
  <si>
    <t>3.1 補足：F2 判定マトリクス（最終商流階層）</t>
  </si>
  <si>
    <t>案件商流＼人材所属</t>
  </si>
  <si>
    <t>自社プロパー (+1)</t>
  </si>
  <si>
    <t>パートナー (+2)</t>
  </si>
  <si>
    <t>個人事業主 (+1)</t>
  </si>
  <si>
    <t>プライム (1)</t>
  </si>
  <si>
    <t>2次 → OK</t>
  </si>
  <si>
    <t>3次 → OK</t>
  </si>
  <si>
    <t>2次 → OK ※業務ルールで除外</t>
  </si>
  <si>
    <t>2次 (2)</t>
  </si>
  <si>
    <t>4次 → 除外</t>
  </si>
  <si>
    <t>※ 案件商流『3次』以降はサブルール(a) で全件除外のためマトリクスから省略。サブルール(c) プライム×個人事業主の業務ルール除外は QA#60 確定で見直し可能性あり。</t>
  </si>
  <si>
    <t>※ 補足：上記マトリクスの深度値（プロパー+1 / パートナー+2 / 個人事業主+1）および 閾値（最終階層≧4 で除外）は暫定設定。SES業界に「X社間契約」の統一定義はなく、社数カウント方式・深度値・閾値は顧客業務定義に合わせて確定する必要あり（QA#60）。
※ 現行設定下ではサブルール(a)『3次以上即除外』はサブルール(b)階層計算と結果が一致するため形式上冗長。深度値が変われば（例：プロパー+0 採用時）(a) 独立の意味が生じる可能性あり。</t>
  </si>
  <si>
    <t>3.2 配点表（100点満点）</t>
  </si>
  <si>
    <t>評価項目</t>
  </si>
  <si>
    <t>配点</t>
  </si>
  <si>
    <t>判定ロジック（暫定）</t>
  </si>
  <si>
    <t>満点の条件</t>
  </si>
  <si>
    <t>部分点の扱い</t>
  </si>
  <si>
    <t>入力要素#</t>
  </si>
  <si>
    <t>S1</t>
  </si>
  <si>
    <t>必須スキル経験年数充足度</t>
  </si>
  <si>
    <t>F1通過者を対象に、案件の必須スキル各々について「人材の経験年数 / 必要年数」の充足率を算出（上限1.0）。全必須スキルの平均充足率 × 30点 を S1 とする。
計算式：S1 = (Σ min(経験年数_i / 必要年数_i, 1.0)) ÷ N × 30
  ※ N = 必須スキル数。N = 0 の場合は S1 = 30（満点扱い、要顧客確認）</t>
  </si>
  <si>
    <t>全必須スキルで経験年数が必要年数以上（充足率が全て1.0）</t>
  </si>
  <si>
    <t>比例和方式（充足率の平均×30点）。各スキルの充足率は1.0で頭打ち（経験超過を加点しない）。1スキル極端不足の影響を他でカバー可能な連続スコアになる。
数値例：必須5つで [完璧×4, 80%×1] → (4.8/5)×30 = 28.8点 / [完璧×3, 50%×2] → (4.0/5)×30 = 24.0点。
段階方式（min/閾値）への切替可能性は QA#31 確定後に再検討。</t>
  </si>
  <si>
    <t>#1, #2</t>
  </si>
  <si>
    <t>S2</t>
  </si>
  <si>
    <t>工程経験一致</t>
  </si>
  <si>
    <t>案件の対象工程と人材の経験工程の重なりで判定。
計算式：S2 = |案件対象工程 ∩ 人材経験工程| ÷ |案件対象工程| × 20
案件側データ: projects.required_processes（要件定義/基本設計/詳細設計/開発/テスト/保守運用 から複数選択）。
案件対象工程 N=0 の場合は S2 = 20（満点扱い、要顧客確認）</t>
  </si>
  <si>
    <t>案件対象工程をすべて経験あり（充足率 = 1.0）</t>
  </si>
  <si>
    <t>比例和。例：案件対象=4工程、人材経験で3つ重複 → (3/4)×20 = 15点。
案件側で対象工程が複数指定されたケースを想定（一般的にSESは複数工程またがる）。</t>
  </si>
  <si>
    <t>#3 + 案件側 projects.required_processes</t>
  </si>
  <si>
    <t>S3</t>
  </si>
  <si>
    <t>尚可スキル一致</t>
  </si>
  <si>
    <t>案件の尚可（あれば嬉しい）スキルと人材の経験スキルの重なりで判定。
計算式：S3 = |案件尚可スキル ∩ 人材経験スキル| ÷ |案件尚可スキル| × 10
案件側データ: projects.preferred_skills（必須スキル以外で評価対象とするスキル群）。
案件尚可スキル N=0 の場合は S3 = 10（満点扱い：尚可指定なし＝ボーナス対象なしで他候補と差をつけない）</t>
  </si>
  <si>
    <t>案件尚可スキルをすべて経験あり（充足率 = 1.0）</t>
  </si>
  <si>
    <t>比例和。例：案件尚可=3スキル、人材保有で2つ重複 → (2/3)×10 = 6.7点。
尚可スキルは『必要年数』判定なし（保有有無のみで判定、経験年数は問わない）。</t>
  </si>
  <si>
    <t>#1 + 案件側 projects.preferred_skills</t>
  </si>
  <si>
    <t>S4</t>
  </si>
  <si>
    <t>勤務形態一致</t>
  </si>
  <si>
    <t>案件の稼働形態 と 人材の勤務形態タグ の適合度で判定</t>
  </si>
  <si>
    <t>人材タグに案件の稼働形態が含まれる</t>
  </si>
  <si>
    <t>人材=『フルリモート希望』×案件=『常駐』は0点等、マトリクスを 3.3節 で定義</t>
  </si>
  <si>
    <t>#9</t>
  </si>
  <si>
    <t>S5</t>
  </si>
  <si>
    <t>勤務地/通勤条件一致</t>
  </si>
  <si>
    <t>希望通勤時間（#17）と実通勤時間の差分で段階判定。実通勤時間 = estimate_commute_time(#5 最寄駅, #6 勤務地駅) 。人材=フルリモート希望 AND 案件=フルリモート の場合は通勤計算をスキップし満点扱い。</t>
  </si>
  <si>
    <t>実通勤時間 ≤ 希望通勤時間（または両者フルリモート一致）</t>
  </si>
  <si>
    <t>差分 = 実通勤時間 − 希望通勤時間。差分 ≤ 0 分 → 10点 / ≤ 15 分 → 7点 / ≤ 30 分 → 4点 / それ以上 → 0点。希望通勤時間 NULL（#17未入力）の場合は暫定で 実 ≤ 60分=10 / ≤ 90分=7 / ≤ 120分=4 / それ以上=0 を適用。</t>
  </si>
  <si>
    <t>#5, #6, #17</t>
  </si>
  <si>
    <t>S6</t>
  </si>
  <si>
    <t>単価一致</t>
  </si>
  <si>
    <t>人材の希望単価が案件の単価レンジ内に収まるか</t>
  </si>
  <si>
    <t>case_rate_min ≤ desired_rate ≤ case_rate_max</t>
  </si>
  <si>
    <t>レンジ内=10 / 上限超過幅5万以内=5 / 希望単価NULL=加点対象で10点扱い / QA#14でスキル見合いは満点扱い</t>
  </si>
  <si>
    <t>#10, #11</t>
  </si>
  <si>
    <t>S7</t>
  </si>
  <si>
    <t>稼働開始時期一致</t>
  </si>
  <si>
    <t>人材の稼働可能時期 ≤ 案件の参画開始時期 + 猶予期間 で判定</t>
  </si>
  <si>
    <t>人材稼働可能日 ≤ 案件開始日</t>
  </si>
  <si>
    <t>差分30日以内=5 / 60日以内=3 / それ以上=0（暫定）</t>
  </si>
  <si>
    <t>#7, #8</t>
  </si>
  <si>
    <t>S8</t>
  </si>
  <si>
    <t>顧客折衝/人物要件一致</t>
  </si>
  <si>
    <t>案件が『顧客折衝要』の場合、人材の『顧客折衝経験=有』で満点。案件『不問』は満点扱い</t>
  </si>
  <si>
    <t>案件要求=要 and 人材=有</t>
  </si>
  <si>
    <t>要求=『要』で人材=『無』の場合は0点</t>
  </si>
  <si>
    <t>#4</t>
  </si>
  <si>
    <t>合計</t>
  </si>
  <si>
    <t>3.2 補足：要素 → 使用ルール 逆引き表</t>
  </si>
  <si>
    <t>第2章の各入力要素が、除外条件（F1〜F2）および配点ルール（S1〜S8）のどこで使われるかを逆引きする。要素とルールは N:N の関係（1ルールが複数要素を消費、1要素が複数ルールで再利用）。</t>
  </si>
  <si>
    <t>要素#</t>
  </si>
  <si>
    <t>由来</t>
  </si>
  <si>
    <t>使用ルール</t>
  </si>
  <si>
    <t>備考</t>
  </si>
  <si>
    <t>F1 / S1 / S3</t>
  </si>
  <si>
    <t>F1: 必須スキル名の有無判定 / S1: 必須スキル経験年数充足度の識別子 / S3: 尚可スキル一致</t>
  </si>
  <si>
    <t>S1の入力。必須スキル各々の (経験年数 / 必要年数) を平均化して30点換算（比例和方式）</t>
  </si>
  <si>
    <t>estimate_commute_time の入力</t>
  </si>
  <si>
    <t>3.3節マトリクス判定</t>
  </si>
  <si>
    <t>NULL時は加点対象で満点扱い</t>
  </si>
  <si>
    <t>F2で使用。3次以上は登録対象外（自社経由で4社間契約以上になるため）</t>
  </si>
  <si>
    <t>所属区分【暫定】</t>
  </si>
  <si>
    <t>除外のみ</t>
  </si>
  <si>
    <t>希望通勤時間【暫定】</t>
  </si>
  <si>
    <t>3.3 勤務形態マトリクス（S4の判定表）【暫定】</t>
  </si>
  <si>
    <t>人材タグ / 案件稼働形態</t>
  </si>
  <si>
    <t>常駐</t>
  </si>
  <si>
    <t>一部リモート可</t>
  </si>
  <si>
    <t>フルリモート</t>
  </si>
  <si>
    <t>常駐可のみ</t>
  </si>
  <si>
    <t>一部リモート可のみ</t>
  </si>
  <si>
    <t>フルリモート希望のみ</t>
  </si>
  <si>
    <t>常駐可 + 一部リモート可</t>
  </si>
  <si>
    <t>すべてのタグ保有</t>
  </si>
  <si>
    <t>3.4 ランク判定</t>
  </si>
  <si>
    <t>ランク</t>
  </si>
  <si>
    <t>スコア帯</t>
  </si>
  <si>
    <t>位置付け</t>
  </si>
  <si>
    <t>UI挙動（WF_09準拠）</t>
  </si>
  <si>
    <t>A</t>
  </si>
  <si>
    <t>80〜100点</t>
  </si>
  <si>
    <t>即提案レベル</t>
  </si>
  <si>
    <t>通常表示。パイプライン追加推奨</t>
  </si>
  <si>
    <t>B</t>
  </si>
  <si>
    <t>65〜79点</t>
  </si>
  <si>
    <t>検討可能</t>
  </si>
  <si>
    <t>通常表示</t>
  </si>
  <si>
    <t>C</t>
  </si>
  <si>
    <t>50〜64点</t>
  </si>
  <si>
    <t>条件交渉次第</t>
  </si>
  <si>
    <t>D</t>
  </si>
  <si>
    <t>0〜49点</t>
  </si>
  <si>
    <t>見送り推奨</t>
  </si>
  <si>
    <t>opacity低めで表示</t>
  </si>
  <si>
    <t>3.5 計算フロー（概要）</t>
  </si>
  <si>
    <t>Step 1</t>
  </si>
  <si>
    <t>Laravel から POST /api/v1/matching/calculate を受信（talent_id, optional project_ids）</t>
  </si>
  <si>
    <t>Step 2</t>
  </si>
  <si>
    <t>Python が RDS から人材・案件・スキル・工程 データを取得</t>
  </si>
  <si>
    <t>Step 3</t>
  </si>
  <si>
    <t>除外条件（F1〜F2）を適用し候補案件を絞り込み</t>
  </si>
  <si>
    <t>Step 4</t>
  </si>
  <si>
    <t>候補各案件に対しS1〜S8を計算、合計スコアとランクを付与</t>
  </si>
  <si>
    <t>Step 5</t>
  </si>
  <si>
    <t>スコア降順でソート。上限件数（表示件数QA#33未確定）で打ち切り</t>
  </si>
  <si>
    <t>Step 6</t>
  </si>
  <si>
    <t>各候補のスコア内訳（breakdown）を含めてLaravelにJSON返却（オンデマンド。DB保存なし QA#45）</t>
  </si>
  <si>
    <t>Step 7</t>
  </si>
  <si>
    <t>ユーザーがドロワーを開いた時点で AI 推薦理由 API を別途呼び出し（第5章）</t>
  </si>
  <si>
    <t>第4章 API仕様（Laravel ⇔ Python / FastAPI）</t>
  </si>
  <si>
    <t>Laravel → Python の内部REST API。ベースパス /api/v1、同期通信、JSON。</t>
  </si>
  <si>
    <t>4.1 エンドポイント一覧</t>
  </si>
  <si>
    <t>Method</t>
  </si>
  <si>
    <t>Path</t>
  </si>
  <si>
    <t>概要</t>
  </si>
  <si>
    <t>同期/非同期</t>
  </si>
  <si>
    <t>E1</t>
  </si>
  <si>
    <t>POST</t>
  </si>
  <si>
    <t>/api/v1/matching/calculate</t>
  </si>
  <si>
    <t>指定人材に対するマッチング計算。スコア＋ランク＋内訳を返却</t>
  </si>
  <si>
    <t>同期</t>
  </si>
  <si>
    <t>E2</t>
  </si>
  <si>
    <t>/api/v1/ai/recommend-reason</t>
  </si>
  <si>
    <t>マッチング候補1件に対し推薦理由を生成（LLM）</t>
  </si>
  <si>
    <t>E3</t>
  </si>
  <si>
    <t>/api/v1/ai/deficit</t>
  </si>
  <si>
    <t>不足条件を説明する短文を生成（LLM）</t>
  </si>
  <si>
    <t>E4</t>
  </si>
  <si>
    <t>/api/v1/ai/resume-summary</t>
  </si>
  <si>
    <t>職務経歴書 (S3) を要約し強みタグを抽出（LLM）</t>
  </si>
  <si>
    <t>E5</t>
  </si>
  <si>
    <t>GET</t>
  </si>
  <si>
    <t>/api/v1/health</t>
  </si>
  <si>
    <t>ECSヘルスチェック用</t>
  </si>
  <si>
    <t>4.2 E1 POST /api/v1/matching/calculate 詳細</t>
  </si>
  <si>
    <t>【Request Body】</t>
  </si>
  <si>
    <t>階層</t>
  </si>
  <si>
    <t>キー</t>
  </si>
  <si>
    <t>型</t>
  </si>
  <si>
    <t>説明</t>
  </si>
  <si>
    <t>root</t>
  </si>
  <si>
    <t>talent_id</t>
  </si>
  <si>
    <t>integer</t>
  </si>
  <si>
    <t>対象人材ID</t>
  </si>
  <si>
    <t>project_ids</t>
  </si>
  <si>
    <t>integer[] (nullable)</t>
  </si>
  <si>
    <t>指定時はこの案件群のみでスコア計算。未指定は『募集中』全件</t>
  </si>
  <si>
    <t>limit</t>
  </si>
  <si>
    <t>返却件数の上限。未指定時は暫定50件（QA#33未確定）</t>
  </si>
  <si>
    <t>rank_filter</t>
  </si>
  <si>
    <t>string[] (A/B/C/D)</t>
  </si>
  <si>
    <t>返却するランクの絞り込み</t>
  </si>
  <si>
    <t>【Response Body (200 OK)】</t>
  </si>
  <si>
    <t>リクエスト対象のエコーバック</t>
  </si>
  <si>
    <t>generated_at</t>
  </si>
  <si>
    <t>string (ISO8601)</t>
  </si>
  <si>
    <t>計算実行時刻</t>
  </si>
  <si>
    <t>total_hits</t>
  </si>
  <si>
    <t>除外後の候補総件数（上限適用前）</t>
  </si>
  <si>
    <t>matches</t>
  </si>
  <si>
    <t>object[]</t>
  </si>
  <si>
    <t>スコア降順の候補配列</t>
  </si>
  <si>
    <t>matches[]</t>
  </si>
  <si>
    <t>project_id</t>
  </si>
  <si>
    <t>score</t>
  </si>
  <si>
    <t>integer (0〜100)</t>
  </si>
  <si>
    <t>合計スコア</t>
  </si>
  <si>
    <t>rank</t>
  </si>
  <si>
    <t>string (A/B/C/D)</t>
  </si>
  <si>
    <t>breakdown</t>
  </si>
  <si>
    <t>object</t>
  </si>
  <si>
    <t>S1〜S8 の内訳</t>
  </si>
  <si>
    <t>matches[].breakdown</t>
  </si>
  <si>
    <t>required_skill</t>
  </si>
  <si>
    <t>S1 必須スキル一致</t>
  </si>
  <si>
    <t>process_exp</t>
  </si>
  <si>
    <t>S2 工程経験一致</t>
  </si>
  <si>
    <t>nice_skill</t>
  </si>
  <si>
    <t>S3 尚可スキル一致</t>
  </si>
  <si>
    <t>work_style</t>
  </si>
  <si>
    <t>S4 勤務形態一致</t>
  </si>
  <si>
    <t>location</t>
  </si>
  <si>
    <t>S5 勤務地/通勤条件一致</t>
  </si>
  <si>
    <t>rate</t>
  </si>
  <si>
    <t>S6 単価一致</t>
  </si>
  <si>
    <t>start_date</t>
  </si>
  <si>
    <t>S7 稼働開始時期一致</t>
  </si>
  <si>
    <t>client_facing</t>
  </si>
  <si>
    <t>S8 顧客折衝/人物要件一致</t>
  </si>
  <si>
    <t>missing_conditions</t>
  </si>
  <si>
    <t>string[]</t>
  </si>
  <si>
    <t>満たしていない要素のサマリー（例: ['顧客折衝経験']）</t>
  </si>
  <si>
    <t>【エラーレスポンス】</t>
  </si>
  <si>
    <t>HTTPステータス</t>
  </si>
  <si>
    <t>error_code</t>
  </si>
  <si>
    <t>400</t>
  </si>
  <si>
    <t>INVALID_PARAMETER</t>
  </si>
  <si>
    <t>talent_idが数値でない等のバリデーションエラー</t>
  </si>
  <si>
    <t>404</t>
  </si>
  <si>
    <t>TALENT_NOT_FOUND</t>
  </si>
  <si>
    <t>指定talent_idが存在しない / ステータス非提案可</t>
  </si>
  <si>
    <t>422</t>
  </si>
  <si>
    <t>NO_ACTIVE_PROJECT</t>
  </si>
  <si>
    <t>除外条件適用後に候補が0件</t>
  </si>
  <si>
    <t>500</t>
  </si>
  <si>
    <t>INTERNAL_ERROR</t>
  </si>
  <si>
    <t>DB接続失敗等の内部エラー</t>
  </si>
  <si>
    <t>504</t>
  </si>
  <si>
    <t>UPSTREAM_TIMEOUT</t>
  </si>
  <si>
    <t>Bedrock等の外部サービスタイムアウト（E2〜E4で発生）</t>
  </si>
  <si>
    <t>4.3 共通方針</t>
  </si>
  <si>
    <t>方針</t>
  </si>
  <si>
    <t>バージョニング</t>
  </si>
  <si>
    <t>URLにv1を含める。破壊的変更時はv2を別途立てる</t>
  </si>
  <si>
    <t>認証</t>
  </si>
  <si>
    <t>VPC内部通信のみ許可。ECSセキュリティグループでLaravelサービスからのみ疎通。APIキー方式は採用しない（ネットワーク層で担保）</t>
  </si>
  <si>
    <t>文字コード</t>
  </si>
  <si>
    <t>UTF-8 / Content-Type: application/json; charset=utf-8</t>
  </si>
  <si>
    <t>日時</t>
  </si>
  <si>
    <t>ISO 8601 (YYYY-MM-DDTHH:MM:SS+09:00) / JST</t>
  </si>
  <si>
    <t>ロギング</t>
  </si>
  <si>
    <t>CloudWatch Logs。リクエストID（UUID v4）をレスポンスヘッダー X-Request-Id に付与</t>
  </si>
  <si>
    <t>サーバ側15秒 / AI系(E2-E4)は30秒まで許容【暫定】</t>
  </si>
  <si>
    <t>第5章 AI連携仕様（AWS Bedrock / Claude 3.5 Sonnet）</t>
  </si>
  <si>
    <t>Bedrock InvokeModel で Claude 3.5 Sonnet を呼び出す。プロバイダ依存を避けるため、抽象化レイヤを設けて差し替え可能にする。</t>
  </si>
  <si>
    <t>5.1 AI機能一覧</t>
  </si>
  <si>
    <t>機能</t>
  </si>
  <si>
    <t>入力</t>
  </si>
  <si>
    <t>出力</t>
  </si>
  <si>
    <t>画面</t>
  </si>
  <si>
    <t>想定トークン</t>
  </si>
  <si>
    <t>推薦理由生成</t>
  </si>
  <si>
    <t>人材プロフィール + 案件詳細 + スコア内訳</t>
  </si>
  <si>
    <t>日本語200字前後の推薦理由テキスト</t>
  </si>
  <si>
    <t>WF_09 マッチング結果ドロワー</t>
  </si>
  <si>
    <t>IN≈2000 / OUT≈300</t>
  </si>
  <si>
    <t>【暫定】QA#34未回答</t>
  </si>
  <si>
    <t>不足条件説明</t>
  </si>
  <si>
    <t>スコア内訳（欠落項目） + 案件要件</t>
  </si>
  <si>
    <t>日本語100字前後の不足条件説明</t>
  </si>
  <si>
    <t>IN≈1000 / OUT≈150</t>
  </si>
  <si>
    <t>職務経歴要約</t>
  </si>
  <si>
    <t>職務経歴書ファイル（S3, PDF/Word）</t>
  </si>
  <si>
    <t>強みサマリー + スキルタグ配列</t>
  </si>
  <si>
    <t>WF_05 人材詳細 AI職務要約エリア</t>
  </si>
  <si>
    <t>IN≈4000 / OUT≈500</t>
  </si>
  <si>
    <t>【暫定】QA#34未回答 / 生成タイミング未確定</t>
  </si>
  <si>
    <t>5.2 呼び出し方式</t>
  </si>
  <si>
    <t>仕様</t>
  </si>
  <si>
    <t>SDK</t>
  </si>
  <si>
    <t>boto3 bedrock-runtime.invoke_model</t>
  </si>
  <si>
    <t>モデルID</t>
  </si>
  <si>
    <t>anthropic.claude-3-5-sonnet-20240620-v1:0</t>
  </si>
  <si>
    <t>リージョン</t>
  </si>
  <si>
    <t>ap-northeast-1 (Bedrockサポート前提・要確認)</t>
  </si>
  <si>
    <t>通信</t>
  </si>
  <si>
    <t>同期 / 非ストリーミング</t>
  </si>
  <si>
    <t>パラメータ</t>
  </si>
  <si>
    <t>max_tokens=600 / temperature=0.3 / top_p=0.9</t>
  </si>
  <si>
    <t>リトライ</t>
  </si>
  <si>
    <t>指数バックオフ (初回1s, 最大3回)</t>
  </si>
  <si>
    <t>レート制御</t>
  </si>
  <si>
    <t>1営業担当あたり同時実行1、全体で5並列まで（Bedrockクォータに応じ調整）</t>
  </si>
  <si>
    <t>抽象化</t>
  </si>
  <si>
    <t>ai_client.generate(task, input_dict) -&gt; str のインターフェースで囲い、OpenAI/Gemini等への差替え可能な設計</t>
  </si>
  <si>
    <t>5.3 プロンプト設計方針</t>
  </si>
  <si>
    <t>ロール / 用途</t>
  </si>
  <si>
    <t>プロンプト</t>
  </si>
  <si>
    <t>System</t>
  </si>
  <si>
    <t>あなたはSES営業を補助するアシスタントです。出力は日本語で、事実に基づき簡潔に記述してください。推測や断定は避け、提示データの範囲で回答してください。</t>
  </si>
  <si>
    <t>User (推薦理由)</t>
  </si>
  <si>
    <t>以下の人材と案件のマッチングについて、スコア内訳を踏まえた推薦理由を日本語200字程度で生成してください。{人材情報} {案件情報} {スコア内訳}</t>
  </si>
  <si>
    <t>User (不足条件)</t>
  </si>
  <si>
    <t>以下の人材は案件の一部要件を満たしていません。欠けている要素を具体的かつ簡潔に100字程度で説明してください。{不足要素} {案件要件}</t>
  </si>
  <si>
    <t>User (経歴要約)</t>
  </si>
  <si>
    <t>以下の職務経歴書から、強みの要約（3〜4文）とスキルタグ（最大10個）を抽出してください。JSONで返してください。{経歴書テキスト}</t>
  </si>
  <si>
    <t>5.4 安全・運用方針</t>
  </si>
  <si>
    <t>観点</t>
  </si>
  <si>
    <t>個人情報</t>
  </si>
  <si>
    <t>氏名・生年月日などの直接識別子は可能な限りマスク（例: 『35歳男性エンジニア』形式）。職務経歴書は個人情報を含むため S3 は Server-Side Encryption (SSE-S3 or SSE-KMS) を有効化</t>
  </si>
  <si>
    <t>ハルシネーション対策</t>
  </si>
  <si>
    <t>プロンプトに『提示データの範囲で回答』を明記。出力には『※AI生成』注記を画面側で表示（WF_05準拠）</t>
  </si>
  <si>
    <t>失敗時挙動</t>
  </si>
  <si>
    <t>LLM失敗時はスコア計算結果のみ返却し、ドロワーには『AI生成に失敗しました』をグレーで表示（推薦理由欄）。サーバエラーにはしない</t>
  </si>
  <si>
    <t>キャッシュ</t>
  </si>
  <si>
    <t>今回のスコープでは未実装。QA回答次第で検討</t>
  </si>
  <si>
    <t>監査ログ</t>
  </si>
  <si>
    <t>CloudWatchにリクエスト入力（PII除去後）・モデルID・トークン数・レスポンス時間を記録</t>
  </si>
  <si>
    <t>5.5 LLMプロバイダ選定根拠（Bedrock採用理由）</t>
  </si>
  <si>
    <t>本設計書は AWS Bedrock / Claude 3.5 Sonnet を前提とする。OpenAI API 等の外部LLMではなく Bedrock を採用する根拠を以下に整理する。</t>
  </si>
  <si>
    <t>Bedrock Claude 3.5 Sonnet （採用）</t>
  </si>
  <si>
    <t>OpenAI API （比較）</t>
  </si>
  <si>
    <t>決め手 / 関連QA</t>
  </si>
  <si>
    <t>データガバナンス</t>
  </si>
  <si>
    <t>VPCエンドポイント経由でAWS網内完結。個人情報が外部ネットに出ない。顧客データのモデル学習非利用がデフォルト契約。</t>
  </si>
  <si>
    <t>外部egressが発生（米国リージョン経由など）。DPIA／契約上のオプトアウト対応が別途必要。</t>
  </si>
  <si>
    <t>QA#25 個人情報保護</t>
  </si>
  <si>
    <t>インフラ統一</t>
  </si>
  <si>
    <t>ECS/RDS/S3と同一AWS。IAMロールで認証完結、APIキー発行・ローテ不要。</t>
  </si>
  <si>
    <t>OpenAI APIキーの発行・Secrets Manager格納・定期ローテが必要。AWS外契約で別請求。</t>
  </si>
  <si>
    <t>運用負荷・漏洩リスク</t>
  </si>
  <si>
    <t>プロバイダ依存回避</t>
  </si>
  <si>
    <t>同一SDK(boto3 bedrock-runtime)でClaude/Llama/Titan/Mistral等を切替可能。差替はmodel_id変更のみ。</t>
  </si>
  <si>
    <t>OpenAI SDK／エンドポイントに固定。乗換時はクライアント層ごと再実装。</t>
  </si>
  <si>
    <t>QA#29 プロバイダ依存回避要望</t>
  </si>
  <si>
    <t>日本語・構造化出力</t>
  </si>
  <si>
    <t>Claude 3.5 Sonnet は日本語推論・JSON構造化出力に強い。推薦理由／経歴要約用途に好適。</t>
  </si>
  <si>
    <t>GPT-4o 系も同等水準。性能差は決定打にならず。</t>
  </si>
  <si>
    <t>性能要因は中立</t>
  </si>
  <si>
    <t>CloudTrailで InvokeModel・トークン数・呼出元IAMまで自動記録。</t>
  </si>
  <si>
    <t>アプリ側で別途ログ設計が必要（リクエスト／レスポンスをDBに保存等）。</t>
  </si>
  <si>
    <t>QA#25 操作ログ保存</t>
  </si>
  <si>
    <t>コスト</t>
  </si>
  <si>
    <t>AWS請求一本化。NAT GW経由のegressコスト発生せず。Sonnetトークン単価も競争力あり。</t>
  </si>
  <si>
    <t>別契約・別予算承認フロー。NAT GW egress 転送量課金が乗る。</t>
  </si>
  <si>
    <t>運用予算</t>
  </si>
  <si>
    <t>待機時間（QA#30）</t>
  </si>
  <si>
    <t>Sonnetストリーミング対応で 5–10 秒同期要件を安定して満たす。</t>
  </si>
  <si>
    <t>GPT-4o 系も満たせる。差別化要因にはならず。</t>
  </si>
  <si>
    <t>QA#30 許容待機時間</t>
  </si>
  <si>
    <t>結論</t>
  </si>
  <si>
    <t>QA#25（個人情報）・QA#29（プロバイダ依存回避）・運用統一性の3点から Bedrock 優位。OpenAI を選ぶ合理性は、既存のOpenAIプロンプト資産／Function calling依存コードが社内に大量にある場合に限られる。本プロジェクトでは該当しないため Bedrock を正式採用提案する（PM上申待ち）。</t>
  </si>
  <si>
    <t>暫定事項・未確定TODO一覧</t>
  </si>
  <si>
    <t>本設計書内で【暫定】とした項目・QA回答待ち項目のトラッキング用。確定後にこのシートを消し込む。</t>
  </si>
  <si>
    <t>対象章</t>
  </si>
  <si>
    <t>暫定項目</t>
  </si>
  <si>
    <t>暫定値 / 現状の扱い</t>
  </si>
  <si>
    <t>確定に必要な情報</t>
  </si>
  <si>
    <t>優先度</t>
  </si>
  <si>
    <t>T01</t>
  </si>
  <si>
    <t>第1章</t>
  </si>
  <si>
    <t>実行基盤 ECS Fargate</t>
  </si>
  <si>
    <t>岡氏案に準拠し採用。Bedrockサポートリージョンでの稼働も暫定</t>
  </si>
  <si>
    <t>吉田リーダーのインフラ見積確定</t>
  </si>
  <si>
    <t>-</t>
  </si>
  <si>
    <t>高</t>
  </si>
  <si>
    <t>吉田氏確定待ち</t>
  </si>
  <si>
    <t>T02</t>
  </si>
  <si>
    <t>LLMプロバイダ：AWS Bedrock / Claude 3.5 Sonnet</t>
  </si>
  <si>
    <t>QA#25/QA#29充足のためBedrockで暫定採用（詳細は 5.5節 参照）</t>
  </si>
  <si>
    <t>T04</t>
  </si>
  <si>
    <t>PythonのDB/S3直接接続</t>
  </si>
  <si>
    <t>QA#48は顧客より『チーム判断』回答済。本チームとして Python 直接接続を推奨・採用（1.3節 注釈参照）</t>
  </si>
  <si>
    <t>フロントチームへの周知・QA#48社内確定としてステータス昇格</t>
  </si>
  <si>
    <t>QA#48</t>
  </si>
  <si>
    <t>チーム全体での確定待ち</t>
  </si>
  <si>
    <t>T05</t>
  </si>
  <si>
    <t>第2章</t>
  </si>
  <si>
    <t>要素#16 所属区分</t>
  </si>
  <si>
    <t>F2（4社間契約回避）のサブルール(b)（自社経由追加深度: 自社プロパー+1 / パートナー+2 / 個人事業主+1）および サブルール(c)（プライム×個人事業主の業務ルール除外）に反映済。</t>
  </si>
  <si>
    <t>顧客QA#60回答</t>
  </si>
  <si>
    <t>QA#60</t>
  </si>
  <si>
    <t xml:space="preserve">QA#60確定待ち
</t>
  </si>
  <si>
    <t>T06</t>
  </si>
  <si>
    <t>要素#17 希望通勤時間</t>
  </si>
  <si>
    <t>S5（勤務地/通勤条件）で暫定使用</t>
  </si>
  <si>
    <t>顧客QA#61回答</t>
  </si>
  <si>
    <t>QA#61</t>
  </si>
  <si>
    <t xml:space="preserve">QA#61確定待ち
</t>
  </si>
  <si>
    <t>T07</t>
  </si>
  <si>
    <t>最寄駅マスタ連携方式</t>
  </si>
  <si>
    <t>stations_masterを仮定</t>
  </si>
  <si>
    <t>QA#59回答（外部API / 静的CSV / フリーテキスト）</t>
  </si>
  <si>
    <t>QA#59確定待ち</t>
  </si>
  <si>
    <t>T08</t>
  </si>
  <si>
    <t>第3章</t>
  </si>
  <si>
    <t>配点30/20/10/10/10/10/5/5</t>
  </si>
  <si>
    <t>要件書スライド6準拠の暫定値</t>
  </si>
  <si>
    <t>QA#31 回答（現場確認中）</t>
  </si>
  <si>
    <t>QA#31</t>
  </si>
  <si>
    <t>QA#31確定待ち</t>
  </si>
  <si>
    <t>T09</t>
  </si>
  <si>
    <t>S5 通勤時間配点ルール（30/60/90分）</t>
  </si>
  <si>
    <t>QA#61と連動する暫定閾値</t>
  </si>
  <si>
    <t>QA#61回答</t>
  </si>
  <si>
    <t>QA#61確定待ち</t>
  </si>
  <si>
    <t>T11</t>
  </si>
  <si>
    <t>人材/案件マスタステータスの全選択肢確定（マッチング除外フラグ含む）</t>
  </si>
  <si>
    <t>ヒアリング表記載は例示止まり：人材『提案可/面談中/稼働中/退職等』、案件『募集中/終了/ペンディング等』。マッチング計算で対象/除外を判定するため全選択肢と各ステータスの除外要否フラグが必要。現状はマッチング前段の絞り込み条件を確定不能。</t>
  </si>
  <si>
    <t>QA#69 回答（人材ステータス全選択肢）+ 案件ステータスのQA起票・回答 + 各ステータスのマッチング対象/除外フラグ</t>
  </si>
  <si>
    <t>QA#69 / 案件ステータスQA未起票</t>
  </si>
  <si>
    <t>フロントチーム確定待ち</t>
  </si>
  <si>
    <t>T12</t>
  </si>
  <si>
    <t>第4章</t>
  </si>
  <si>
    <t>返却件数上限 limit デフォルト50
※マッチング結果の表示件数の上限</t>
  </si>
  <si>
    <t>QA#33未回答</t>
  </si>
  <si>
    <t>QA#33回答</t>
  </si>
  <si>
    <t>QA#33</t>
  </si>
  <si>
    <t>中</t>
  </si>
  <si>
    <t>QA#33確定待ち</t>
  </si>
  <si>
    <t>T13</t>
  </si>
  <si>
    <t>第5章</t>
  </si>
  <si>
    <t>AI出力フォーマット・文字数</t>
  </si>
  <si>
    <t>推薦理由200字 / 不足条件100字 / 経歴要約3〜4文の暫定</t>
  </si>
  <si>
    <t>QA#34回答</t>
  </si>
  <si>
    <t>QA#34</t>
  </si>
  <si>
    <t>QA#34確定待ち</t>
  </si>
  <si>
    <t>T15</t>
  </si>
  <si>
    <t>職務経歴要約の生成タイミング</t>
  </si>
  <si>
    <t>人材登録時/詳細表示時/マッチング時 いずれか</t>
  </si>
  <si>
    <t>QA#34 + WF_05 未確定の確定</t>
  </si>
  <si>
    <t>T17</t>
  </si>
  <si>
    <t>マッチング実行画面（人材一覧/詳細）</t>
  </si>
  <si>
    <t>両方からトリガー前提で暫定API設計</t>
  </si>
  <si>
    <t>QA#51回答</t>
  </si>
  <si>
    <t>QA#51</t>
  </si>
  <si>
    <t>QA#51確定待ち</t>
  </si>
  <si>
    <t>T18</t>
  </si>
  <si>
    <t>第1章/第2章</t>
  </si>
  <si>
    <t>S3使用要否(職務経歴書・顔写真等のファイル格納)</t>
  </si>
  <si>
    <t>v0.2ではS3使用前提で記載。ただしフロント構成図では未確定扱い。</t>
  </si>
  <si>
    <t>顧客QA追加 or フロント認識合わせで確定。顔写真はQA#46で不要確定済だが、職務経歴書は未確認。</t>
  </si>
  <si>
    <t>-（QA追加要）</t>
  </si>
  <si>
    <t>T19</t>
  </si>
  <si>
    <t>F2 4社間契約回避ロジック詳細化</t>
  </si>
  <si>
    <t>案件商流ENUMを『プライム/2次』のみに削減（3次以上は4社間契約必至で対象外）。F2 サブルール(a) 3次以上即除外 / (b) 商流階層計算（最終階層=案件商流+自社追加深度、≧4で除外） / (c) プライム×個人事業主 暫定除外。深度値（プロパー+1 / パートナー+2 / 個人事業主+1）・閾値（≧4）は暫定値。
※ 現行設定では (a) と (b) が結果一致 = 形式上冗長。深度値が変われば (a) 独立の意味が出る可能性。
※ SES業界に『X社間契約』の統一定義なし。社数カウント方式・深度値・閾値の3点は顧客業務ルールに合わせて確定が必要。</t>
  </si>
  <si>
    <t>QA#60 回答：①社数のカウント方式（契約当事者ベース／介在会社ベース／個人事業主を社に含めるか等）、②自社経由追加深度の各値（プロパー/パートナー/個人事業主それぞれ）、③除外閾値（最終階層≧何で除外）。3点を顧客業務ルールに合わせて確定。</t>
  </si>
  <si>
    <t>QA#60確定待ち</t>
  </si>
  <si>
    <t>【バック内 T&amp;E】開発中トライ＆エラー事項 ※本来は別媒体（Jira等）で管理対象</t>
  </si>
  <si>
    <t>T03</t>
  </si>
  <si>
    <t>API応答タイムアウト 10/15秒</t>
  </si>
  <si>
    <t>QA#30の5〜10秒を踏まえた暫定値</t>
  </si>
  <si>
    <t>実装後の計測結果</t>
  </si>
  <si>
    <t>バックチーム確定待ち</t>
  </si>
  <si>
    <t>T10</t>
  </si>
  <si>
    <t>S6 希望単価NULL時の扱い</t>
  </si>
  <si>
    <t>満点扱いで暫定。QA#14のスキル見合いも満点扱い</t>
  </si>
  <si>
    <t>顧客レビュー</t>
  </si>
  <si>
    <t>T14</t>
  </si>
  <si>
    <t>Bedrockリージョン</t>
  </si>
  <si>
    <t>ap-northeast-1想定だが東京でのClaude 3.5 Sonnet提供要確認</t>
  </si>
  <si>
    <t>AWS Bedrock利用可否調査</t>
  </si>
  <si>
    <t>T16</t>
  </si>
  <si>
    <t>同時並列数・レート制限値</t>
  </si>
  <si>
    <t>1ユーザ1同時 / 全体5並列で暫定</t>
  </si>
  <si>
    <t>Bedrockクォータ公式値確認</t>
  </si>
  <si>
    <t>T20</t>
  </si>
  <si>
    <t>職務経歴書テキスト長尺時のハンドリング</t>
  </si>
  <si>
    <t>Bedrock トークン上限超過時の扱い未定。チャンク分割 / 先頭N文字切り詰め / 重要セクション抽出 のいずれか。現状は無策で投入しているのでLLMエラーで処理失敗する可能性あり。</t>
  </si>
  <si>
    <t>実機テスト（典型的な職務経歴書のトークン数計測）+ Bedrock リミット確認</t>
  </si>
  <si>
    <t>T22</t>
  </si>
  <si>
    <t>案件側スキル要件項目の §2.1 要素化</t>
  </si>
  <si>
    <t>S1/F1（必須スキル要件）, S2（対象工程要件）, S3（尚可スキル要件）はいずれも案件側データを参照するが、現行の §2.1 17要素は人材側スキル/工程の保有情報のみで、案件側『必須スキル+必要年数』『対象工程』『尚可スキル』が独立要素として明示列挙されていない。判定ロジック欄では projects.required_skills / required_processes / preferred_skills として記載済だが、要素一覧にも独立行として追加するか整理要</t>
  </si>
  <si>
    <t>設計レビューでの判断（要素一覧の構造方針）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</si>
</sst>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rgb="FF1F2D5A"/>
      <name val="Verdana"/>
    </font>
    <font>
      <b/>
      <sz val="12.0"/>
      <color rgb="FF595959"/>
      <name val="Verdana"/>
    </font>
    <font>
      <b/>
      <sz val="10.0"/>
      <color theme="1"/>
      <name val="Verdana"/>
    </font>
    <font>
      <sz val="10.0"/>
      <color theme="1"/>
      <name val="Yu Gothic UI"/>
    </font>
    <font/>
    <font>
      <sz val="10.0"/>
      <color theme="1"/>
      <name val="Verdana"/>
    </font>
    <font>
      <b/>
      <sz val="12.0"/>
      <color rgb="FF1F2D5A"/>
      <name val="Verdana"/>
    </font>
    <font>
      <b/>
      <sz val="11.0"/>
      <color rgb="FFFFFFFF"/>
      <name val="Yu Gothic UI"/>
    </font>
    <font>
      <b/>
      <sz val="11.0"/>
      <color rgb="FFFFFFFF"/>
      <name val="Verdana"/>
    </font>
    <font>
      <b/>
      <sz val="16.0"/>
      <color rgb="FF1F2D5A"/>
      <name val="Verdana"/>
    </font>
    <font>
      <i/>
      <sz val="9.0"/>
      <color rgb="FF595959"/>
      <name val="Yu Gothic UI"/>
    </font>
    <font>
      <b/>
      <sz val="12.0"/>
      <color rgb="FF1F2D5A"/>
      <name val="Yu Gothic UI"/>
    </font>
    <font>
      <sz val="11.0"/>
      <color theme="1"/>
      <name val="Verdana"/>
    </font>
    <font>
      <sz val="10.0"/>
      <color rgb="FF7F6000"/>
      <name val="Verdana"/>
    </font>
    <font>
      <i/>
      <sz val="9.0"/>
      <color rgb="FF595959"/>
      <name val="Verdana"/>
    </font>
    <font>
      <b/>
      <sz val="10.0"/>
      <color theme="1"/>
      <name val="Yu Gothic UI"/>
    </font>
    <font>
      <b/>
      <sz val="11.0"/>
      <color theme="1"/>
      <name val="Cambria"/>
    </font>
    <font>
      <b/>
      <sz val="11.0"/>
      <color theme="1"/>
      <name val="Verdana"/>
    </font>
    <font>
      <sz val="10.0"/>
      <color theme="1"/>
      <name val="Calibri"/>
    </font>
    <font>
      <sz val="11.0"/>
      <color theme="1"/>
      <name val="Cambria"/>
    </font>
    <font>
      <sz val="10.0"/>
      <color theme="1"/>
      <name val="Arial"/>
    </font>
    <font>
      <sz val="9.0"/>
      <color rgb="FF595959"/>
      <name val="Verdana"/>
    </font>
    <font>
      <b/>
      <sz val="11.0"/>
      <color rgb="FFFFFFFF"/>
      <name val="Cambria"/>
    </font>
    <font>
      <b/>
      <sz val="11.0"/>
      <color rgb="FFFFFFFF"/>
      <name val="Arial"/>
    </font>
    <font>
      <b/>
      <sz val="16.0"/>
      <color rgb="FF1F2D5A"/>
      <name val="Yu Gothic UI"/>
    </font>
    <font>
      <sz val="9.0"/>
      <color rgb="FF595959"/>
      <name val="Yu Gothic UI"/>
    </font>
  </fonts>
  <fills count="12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1F2D5A"/>
        <bgColor rgb="FF1F2D5A"/>
      </patternFill>
    </fill>
    <fill>
      <patternFill patternType="solid">
        <fgColor rgb="FFE2EFDA"/>
        <bgColor rgb="FFE2EFDA"/>
      </patternFill>
    </fill>
    <fill>
      <patternFill patternType="solid">
        <fgColor rgb="FFFFE699"/>
        <bgColor rgb="FFFFE699"/>
      </patternFill>
    </fill>
    <fill>
      <patternFill patternType="solid">
        <fgColor rgb="FFFBE5D6"/>
        <bgColor rgb="FFFBE5D6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1">
    <border/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top style="thin">
        <color rgb="FFB4B4B4"/>
      </top>
      <bottom style="thin">
        <color rgb="FFB4B4B4"/>
      </bottom>
    </border>
    <border>
      <top style="thin">
        <color rgb="FFB4B4B4"/>
      </top>
      <bottom style="thin">
        <color rgb="FFB4B4B4"/>
      </bottom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F8F00"/>
      </left>
      <top style="thin">
        <color rgb="FFBF8F00"/>
      </top>
      <bottom style="thin">
        <color rgb="FFBF8F00"/>
      </bottom>
    </border>
    <border>
      <top style="thin">
        <color rgb="FFBF8F00"/>
      </top>
      <bottom style="thin">
        <color rgb="FFBF8F00"/>
      </bottom>
    </border>
    <border>
      <right style="thin">
        <color rgb="FFBF8F00"/>
      </right>
      <top style="thin">
        <color rgb="FFBF8F00"/>
      </top>
      <bottom style="thin">
        <color rgb="FFBF8F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right/>
      <top/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4B4B4"/>
      </left>
      <right style="thin">
        <color rgb="FFB4B4B4"/>
      </right>
      <top style="thin">
        <color rgb="FFB4B4B4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4B4B4"/>
      </left>
      <right style="thin">
        <color rgb="FFB4B4B4"/>
      </right>
      <bottom style="thin">
        <color rgb="FFB4B4B4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top" wrapText="1"/>
    </xf>
    <xf borderId="3" fillId="0" fontId="6" numFmtId="0" xfId="0" applyBorder="1" applyFont="1"/>
    <xf borderId="4" fillId="0" fontId="6" numFmtId="0" xfId="0" applyBorder="1" applyFont="1"/>
    <xf borderId="2" fillId="0" fontId="7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vertical="bottom"/>
    </xf>
    <xf borderId="0" fillId="0" fontId="5" numFmtId="0" xfId="0" applyAlignment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4" numFmtId="0" xfId="0" applyAlignment="1" applyFont="1">
      <alignment vertical="bottom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5" fillId="7" fontId="15" numFmtId="0" xfId="0" applyAlignment="1" applyBorder="1" applyFill="1" applyFont="1">
      <alignment horizontal="left" shrinkToFit="0" vertical="center" wrapText="1"/>
    </xf>
    <xf borderId="6" fillId="0" fontId="6" numFmtId="0" xfId="0" applyBorder="1" applyFont="1"/>
    <xf borderId="7" fillId="0" fontId="6" numFmtId="0" xfId="0" applyBorder="1" applyFont="1"/>
    <xf borderId="0" fillId="0" fontId="16" numFmtId="0" xfId="0" applyAlignment="1" applyFont="1">
      <alignment vertical="bottom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7" fontId="5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horizontal="left" shrinkToFit="0" vertical="top" wrapText="1"/>
    </xf>
    <xf borderId="1" fillId="7" fontId="5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shrinkToFit="0" vertical="top" wrapText="1"/>
    </xf>
    <xf borderId="8" fillId="5" fontId="17" numFmtId="0" xfId="0" applyAlignment="1" applyBorder="1" applyFont="1">
      <alignment horizontal="center" shrinkToFit="0" vertical="center" wrapText="1"/>
    </xf>
    <xf borderId="8" fillId="5" fontId="7" numFmtId="0" xfId="0" applyAlignment="1" applyBorder="1" applyFont="1">
      <alignment shrinkToFit="0" vertical="top" wrapText="1"/>
    </xf>
    <xf borderId="8" fillId="5" fontId="5" numFmtId="0" xfId="0" applyAlignment="1" applyBorder="1" applyFont="1">
      <alignment shrinkToFit="0" vertical="top" wrapText="1"/>
    </xf>
    <xf borderId="0" fillId="0" fontId="18" numFmtId="0" xfId="0" applyAlignment="1" applyFont="1">
      <alignment vertical="bottom"/>
    </xf>
    <xf borderId="9" fillId="8" fontId="10" numFmtId="0" xfId="0" applyAlignment="1" applyBorder="1" applyFill="1" applyFont="1">
      <alignment horizontal="center" shrinkToFit="0" vertical="center" wrapText="1"/>
    </xf>
    <xf borderId="10" fillId="8" fontId="10" numFmtId="0" xfId="0" applyAlignment="1" applyBorder="1" applyFont="1">
      <alignment horizontal="center" shrinkToFit="0" vertical="center" wrapText="1"/>
    </xf>
    <xf borderId="11" fillId="9" fontId="19" numFmtId="0" xfId="0" applyAlignment="1" applyBorder="1" applyFill="1" applyFont="1">
      <alignment horizontal="center" shrinkToFit="0" vertical="center" wrapText="1"/>
    </xf>
    <xf borderId="12" fillId="0" fontId="1" numFmtId="0" xfId="0" applyAlignment="1" applyBorder="1" applyFont="1">
      <alignment horizontal="center" vertical="center"/>
    </xf>
    <xf borderId="12" fillId="0" fontId="20" numFmtId="0" xfId="0" applyAlignment="1" applyBorder="1" applyFont="1">
      <alignment horizontal="center" vertical="center"/>
    </xf>
    <xf borderId="11" fillId="9" fontId="18" numFmtId="0" xfId="0" applyAlignment="1" applyBorder="1" applyFont="1">
      <alignment horizontal="center" shrinkToFit="0" vertical="center" wrapText="1"/>
    </xf>
    <xf borderId="12" fillId="10" fontId="1" numFmtId="0" xfId="0" applyAlignment="1" applyBorder="1" applyFill="1" applyFont="1">
      <alignment horizontal="center" shrinkToFit="0" vertical="center" wrapText="1"/>
    </xf>
    <xf borderId="12" fillId="10" fontId="20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top" wrapText="1"/>
    </xf>
    <xf borderId="0" fillId="0" fontId="21" numFmtId="0" xfId="0" applyAlignment="1" applyFont="1">
      <alignment vertical="bottom"/>
    </xf>
    <xf borderId="8" fillId="3" fontId="10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shrinkToFit="0" vertical="top" wrapText="1"/>
    </xf>
    <xf borderId="13" fillId="5" fontId="4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shrinkToFit="0" vertical="top" wrapText="1"/>
    </xf>
    <xf borderId="2" fillId="0" fontId="5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shrinkToFit="0" vertical="top" wrapText="1"/>
    </xf>
    <xf borderId="12" fillId="5" fontId="7" numFmtId="0" xfId="0" applyAlignment="1" applyBorder="1" applyFont="1">
      <alignment horizontal="center" shrinkToFit="0" vertical="center" wrapText="1"/>
    </xf>
    <xf borderId="12" fillId="0" fontId="22" numFmtId="0" xfId="0" applyAlignment="1" applyBorder="1" applyFont="1">
      <alignment readingOrder="0" shrinkToFit="0" vertical="top" wrapText="1"/>
    </xf>
    <xf borderId="12" fillId="0" fontId="5" numFmtId="0" xfId="0" applyAlignment="1" applyBorder="1" applyFont="1">
      <alignment shrinkToFit="0" vertical="top" wrapText="1"/>
    </xf>
    <xf borderId="15" fillId="0" fontId="7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left" shrinkToFit="0" vertical="top" wrapText="1"/>
    </xf>
    <xf borderId="15" fillId="5" fontId="4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0" fillId="0" fontId="13" numFmtId="0" xfId="0" applyAlignment="1" applyFont="1">
      <alignment horizontal="left" vertical="center"/>
    </xf>
    <xf borderId="0" fillId="0" fontId="23" numFmtId="0" xfId="0" applyAlignment="1" applyFont="1">
      <alignment horizontal="left" vertical="top"/>
    </xf>
    <xf borderId="8" fillId="0" fontId="1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left" shrinkToFit="0" vertical="top" wrapText="1"/>
    </xf>
    <xf borderId="8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shrinkToFit="0" vertical="top" wrapText="1"/>
    </xf>
    <xf borderId="8" fillId="11" fontId="17" numFmtId="0" xfId="0" applyAlignment="1" applyBorder="1" applyFill="1" applyFont="1">
      <alignment horizontal="center" shrinkToFit="0" vertical="center" wrapText="1"/>
    </xf>
    <xf borderId="8" fillId="11" fontId="7" numFmtId="0" xfId="0" applyAlignment="1" applyBorder="1" applyFont="1">
      <alignment horizontal="left" shrinkToFit="0" vertical="top" wrapText="1"/>
    </xf>
    <xf borderId="8" fillId="11" fontId="7" numFmtId="0" xfId="0" applyAlignment="1" applyBorder="1" applyFont="1">
      <alignment horizontal="center" shrinkToFit="0" vertical="center" wrapText="1"/>
    </xf>
    <xf borderId="8" fillId="11" fontId="5" numFmtId="0" xfId="0" applyAlignment="1" applyBorder="1" applyFont="1">
      <alignment horizontal="center" shrinkToFit="0" vertical="center" wrapText="1"/>
    </xf>
    <xf borderId="8" fillId="11" fontId="7" numFmtId="0" xfId="0" applyAlignment="1" applyBorder="1" applyFont="1">
      <alignment shrinkToFit="0" vertical="top" wrapText="1"/>
    </xf>
    <xf borderId="8" fillId="0" fontId="5" numFmtId="0" xfId="0" applyAlignment="1" applyBorder="1" applyFont="1">
      <alignment horizontal="left" shrinkToFit="0" vertical="top" wrapText="1"/>
    </xf>
    <xf borderId="8" fillId="11" fontId="5" numFmtId="0" xfId="0" applyAlignment="1" applyBorder="1" applyFont="1">
      <alignment horizontal="left" shrinkToFit="0" vertical="top" wrapText="1"/>
    </xf>
    <xf borderId="8" fillId="11" fontId="5" numFmtId="0" xfId="0" applyAlignment="1" applyBorder="1" applyFont="1">
      <alignment shrinkToFit="0" vertical="top" wrapText="1"/>
    </xf>
    <xf borderId="8" fillId="5" fontId="7" numFmtId="0" xfId="0" applyAlignment="1" applyBorder="1" applyFont="1">
      <alignment horizontal="left" shrinkToFit="0" vertical="top" wrapText="1"/>
    </xf>
    <xf borderId="8" fillId="5" fontId="7" numFmtId="0" xfId="0" applyAlignment="1" applyBorder="1" applyFont="1">
      <alignment horizontal="center" shrinkToFit="0" vertical="center" wrapText="1"/>
    </xf>
    <xf borderId="8" fillId="5" fontId="5" numFmtId="0" xfId="0" applyAlignment="1" applyBorder="1" applyFont="1">
      <alignment horizontal="center" shrinkToFit="0" vertical="center" wrapText="1"/>
    </xf>
    <xf borderId="9" fillId="3" fontId="10" numFmtId="0" xfId="0" applyAlignment="1" applyBorder="1" applyFont="1">
      <alignment horizontal="center" vertical="center"/>
    </xf>
    <xf borderId="9" fillId="3" fontId="24" numFmtId="0" xfId="0" applyAlignment="1" applyBorder="1" applyFont="1">
      <alignment horizontal="center" vertical="center"/>
    </xf>
    <xf borderId="1" fillId="3" fontId="25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vertical="bottom"/>
    </xf>
    <xf borderId="8" fillId="3" fontId="9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shrinkToFit="0" vertical="top" wrapText="1"/>
    </xf>
    <xf borderId="8" fillId="9" fontId="5" numFmtId="0" xfId="0" applyAlignment="1" applyBorder="1" applyFont="1">
      <alignment horizontal="left" shrinkToFit="0" vertical="top" wrapText="1"/>
    </xf>
    <xf borderId="8" fillId="11" fontId="4" numFmtId="0" xfId="0" applyAlignment="1" applyBorder="1" applyFont="1">
      <alignment horizontal="left" shrinkToFit="0" vertical="top" wrapText="1"/>
    </xf>
    <xf borderId="8" fillId="9" fontId="7" numFmtId="0" xfId="0" applyAlignment="1" applyBorder="1" applyFont="1">
      <alignment horizontal="left" shrinkToFit="0" vertical="top" wrapText="1"/>
    </xf>
    <xf borderId="8" fillId="4" fontId="4" numFmtId="0" xfId="0" applyAlignment="1" applyBorder="1" applyFont="1">
      <alignment horizontal="left" shrinkToFit="0" vertical="top" wrapText="1"/>
    </xf>
    <xf borderId="17" fillId="4" fontId="5" numFmtId="0" xfId="0" applyAlignment="1" applyBorder="1" applyFont="1">
      <alignment horizontal="left" shrinkToFit="0" vertical="top" wrapText="1"/>
    </xf>
    <xf borderId="18" fillId="0" fontId="6" numFmtId="0" xfId="0" applyBorder="1" applyFont="1"/>
    <xf borderId="19" fillId="0" fontId="6" numFmtId="0" xfId="0" applyBorder="1" applyFont="1"/>
    <xf borderId="0" fillId="0" fontId="26" numFmtId="0" xfId="0" applyFont="1"/>
    <xf borderId="0" fillId="0" fontId="27" numFmtId="0" xfId="0" applyFont="1"/>
    <xf borderId="20" fillId="3" fontId="9" numFmtId="0" xfId="0" applyAlignment="1" applyBorder="1" applyFont="1">
      <alignment horizontal="center" shrinkToFit="0" vertical="center" wrapText="1"/>
    </xf>
    <xf borderId="20" fillId="3" fontId="25" numFmtId="0" xfId="0" applyAlignment="1" applyBorder="1" applyFont="1">
      <alignment horizontal="center" readingOrder="0" shrinkToFit="0" vertical="center" wrapText="1"/>
    </xf>
    <xf borderId="20" fillId="0" fontId="5" numFmtId="0" xfId="0" applyAlignment="1" applyBorder="1" applyFont="1">
      <alignment shrinkToFit="0" vertical="top" wrapText="1"/>
    </xf>
    <xf borderId="20" fillId="0" fontId="22" numFmtId="0" xfId="0" applyAlignment="1" applyBorder="1" applyFont="1">
      <alignment readingOrder="0" shrinkToFit="0" vertical="top" wrapText="1"/>
    </xf>
    <xf borderId="20" fillId="7" fontId="22" numFmtId="0" xfId="0" applyAlignment="1" applyBorder="1" applyFont="1">
      <alignment readingOrder="0" shrinkToFit="0" vertical="top" wrapText="1"/>
    </xf>
    <xf borderId="20" fillId="7" fontId="5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3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4.0"/>
    <col customWidth="1" min="3" max="3" width="30.0"/>
    <col customWidth="1" min="4" max="4" width="25.0"/>
    <col customWidth="1" min="5" max="5" width="18.0"/>
    <col customWidth="1" min="6" max="7" width="22.0"/>
    <col customWidth="1" min="8" max="8" width="8.71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1"/>
      <c r="B2" s="3" t="s">
        <v>0</v>
      </c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/>
      <c r="B3" s="4" t="s">
        <v>1</v>
      </c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"/>
      <c r="B5" s="5" t="s">
        <v>2</v>
      </c>
      <c r="C5" s="6" t="s">
        <v>3</v>
      </c>
      <c r="D5" s="7"/>
      <c r="E5" s="7"/>
      <c r="F5" s="7"/>
      <c r="G5" s="8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"/>
      <c r="B6" s="5" t="s">
        <v>4</v>
      </c>
      <c r="C6" s="6" t="s">
        <v>5</v>
      </c>
      <c r="D6" s="7"/>
      <c r="E6" s="7"/>
      <c r="F6" s="7"/>
      <c r="G6" s="8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"/>
      <c r="B7" s="5" t="s">
        <v>6</v>
      </c>
      <c r="C7" s="6" t="s">
        <v>7</v>
      </c>
      <c r="D7" s="7"/>
      <c r="E7" s="7"/>
      <c r="F7" s="7"/>
      <c r="G7" s="8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"/>
      <c r="B8" s="5" t="s">
        <v>8</v>
      </c>
      <c r="C8" s="9" t="s">
        <v>9</v>
      </c>
      <c r="D8" s="7"/>
      <c r="E8" s="7"/>
      <c r="F8" s="7"/>
      <c r="G8" s="8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"/>
      <c r="B9" s="5" t="s">
        <v>10</v>
      </c>
      <c r="C9" s="9" t="s">
        <v>11</v>
      </c>
      <c r="D9" s="7"/>
      <c r="E9" s="7"/>
      <c r="F9" s="7"/>
      <c r="G9" s="8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"/>
      <c r="B10" s="5" t="s">
        <v>12</v>
      </c>
      <c r="C10" s="9" t="s">
        <v>13</v>
      </c>
      <c r="D10" s="7"/>
      <c r="E10" s="7"/>
      <c r="F10" s="7"/>
      <c r="G10" s="8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"/>
      <c r="B11" s="5" t="s">
        <v>14</v>
      </c>
      <c r="C11" s="9" t="s">
        <v>15</v>
      </c>
      <c r="D11" s="7"/>
      <c r="E11" s="7"/>
      <c r="F11" s="7"/>
      <c r="G11" s="8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/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"/>
      <c r="B14" s="10" t="s">
        <v>16</v>
      </c>
      <c r="C14" s="1"/>
      <c r="D14" s="1"/>
      <c r="E14" s="1"/>
      <c r="F14" s="1"/>
      <c r="G14" s="1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1"/>
      <c r="B15" s="12" t="s">
        <v>17</v>
      </c>
      <c r="C15" s="13" t="s">
        <v>18</v>
      </c>
      <c r="D15" s="13" t="s">
        <v>19</v>
      </c>
      <c r="E15" s="13" t="s">
        <v>20</v>
      </c>
      <c r="F15" s="1"/>
      <c r="G15" s="1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4.5" customHeight="1">
      <c r="A16" s="1"/>
      <c r="B16" s="14" t="s">
        <v>21</v>
      </c>
      <c r="C16" s="14" t="s">
        <v>7</v>
      </c>
      <c r="D16" s="15" t="s">
        <v>22</v>
      </c>
      <c r="E16" s="15" t="s">
        <v>23</v>
      </c>
      <c r="F16" s="1"/>
      <c r="G16" s="1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5.75" customHeight="1">
      <c r="A17" s="1"/>
      <c r="B17" s="14" t="s">
        <v>24</v>
      </c>
      <c r="C17" s="14" t="s">
        <v>7</v>
      </c>
      <c r="D17" s="15" t="s">
        <v>22</v>
      </c>
      <c r="E17" s="15" t="s">
        <v>25</v>
      </c>
      <c r="F17" s="1"/>
      <c r="G17" s="1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/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"/>
      <c r="B20" s="10" t="s">
        <v>26</v>
      </c>
      <c r="C20" s="1"/>
      <c r="D20" s="1"/>
      <c r="E20" s="1"/>
      <c r="F20" s="1"/>
      <c r="G20" s="1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"/>
      <c r="B21" s="13" t="s">
        <v>27</v>
      </c>
      <c r="C21" s="13" t="s">
        <v>28</v>
      </c>
      <c r="D21" s="1"/>
      <c r="E21" s="1"/>
      <c r="F21" s="1"/>
      <c r="G21" s="1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3.25" customHeight="1">
      <c r="A22" s="1"/>
      <c r="B22" s="14" t="s">
        <v>29</v>
      </c>
      <c r="C22" s="15" t="s">
        <v>30</v>
      </c>
      <c r="D22" s="1"/>
      <c r="E22" s="1"/>
      <c r="F22" s="1"/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3.25" customHeight="1">
      <c r="A23" s="1"/>
      <c r="B23" s="14" t="s">
        <v>31</v>
      </c>
      <c r="C23" s="16" t="s">
        <v>32</v>
      </c>
      <c r="D23" s="1"/>
      <c r="E23" s="1"/>
      <c r="F23" s="1"/>
      <c r="G23" s="1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3.25" customHeight="1">
      <c r="A24" s="1"/>
      <c r="B24" s="14" t="s">
        <v>33</v>
      </c>
      <c r="C24" s="14" t="s">
        <v>34</v>
      </c>
      <c r="D24" s="1"/>
      <c r="E24" s="1"/>
      <c r="F24" s="1"/>
      <c r="G24" s="1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3.25" customHeight="1">
      <c r="A25" s="1"/>
      <c r="B25" s="14" t="s">
        <v>35</v>
      </c>
      <c r="C25" s="14" t="s">
        <v>36</v>
      </c>
      <c r="D25" s="1"/>
      <c r="E25" s="1"/>
      <c r="F25" s="1"/>
      <c r="G25" s="1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3.25" customHeight="1">
      <c r="A26" s="1"/>
      <c r="B26" s="14" t="s">
        <v>37</v>
      </c>
      <c r="C26" s="14" t="s">
        <v>38</v>
      </c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3.25" customHeight="1">
      <c r="A27" s="1"/>
      <c r="B27" s="14" t="s">
        <v>39</v>
      </c>
      <c r="C27" s="15" t="s">
        <v>40</v>
      </c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1"/>
      <c r="B31" s="17" t="s">
        <v>41</v>
      </c>
      <c r="C31" s="1"/>
      <c r="D31" s="1"/>
      <c r="E31" s="1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1"/>
      <c r="B32" s="18" t="s">
        <v>42</v>
      </c>
      <c r="C32" s="9" t="s">
        <v>43</v>
      </c>
      <c r="D32" s="7"/>
      <c r="E32" s="7"/>
      <c r="F32" s="7"/>
      <c r="G32" s="8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1"/>
      <c r="B33" s="19" t="s">
        <v>44</v>
      </c>
      <c r="C33" s="9" t="s">
        <v>45</v>
      </c>
      <c r="D33" s="7"/>
      <c r="E33" s="7"/>
      <c r="F33" s="7"/>
      <c r="G33" s="8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1"/>
      <c r="B34" s="20" t="s">
        <v>46</v>
      </c>
      <c r="C34" s="6" t="s">
        <v>47</v>
      </c>
      <c r="D34" s="7"/>
      <c r="E34" s="7"/>
      <c r="F34" s="7"/>
      <c r="G34" s="8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12">
    <mergeCell ref="C10:G10"/>
    <mergeCell ref="C11:G11"/>
    <mergeCell ref="C32:G32"/>
    <mergeCell ref="C33:G33"/>
    <mergeCell ref="C34:G34"/>
    <mergeCell ref="B2:G2"/>
    <mergeCell ref="B3:G3"/>
    <mergeCell ref="C5:G5"/>
    <mergeCell ref="C6:G6"/>
    <mergeCell ref="C7:G7"/>
    <mergeCell ref="C8:G8"/>
    <mergeCell ref="C9:G9"/>
  </mergeCells>
  <printOptions horizontalCentered="1"/>
  <pageMargins bottom="0.6" footer="0.0" header="0.0" left="0.4" right="0.4" top="0.6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22.0"/>
    <col customWidth="1" min="3" max="3" width="34.0"/>
    <col customWidth="1" min="4" max="4" width="44.0"/>
    <col customWidth="1" min="5" max="5" width="14.0"/>
    <col customWidth="1" min="6" max="6" width="24.0"/>
  </cols>
  <sheetData>
    <row r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1"/>
      <c r="B2" s="21" t="s">
        <v>48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/>
      <c r="B3" s="22" t="s">
        <v>49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"/>
      <c r="B5" s="23" t="s">
        <v>50</v>
      </c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2"/>
      <c r="B6" s="13" t="s">
        <v>51</v>
      </c>
      <c r="C6" s="13" t="s">
        <v>52</v>
      </c>
      <c r="D6" s="13" t="s">
        <v>53</v>
      </c>
      <c r="E6" s="13" t="s">
        <v>54</v>
      </c>
      <c r="F6" s="24" t="s">
        <v>55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5.75" customHeight="1">
      <c r="A7" s="1"/>
      <c r="B7" s="15" t="s">
        <v>56</v>
      </c>
      <c r="C7" s="14" t="s">
        <v>57</v>
      </c>
      <c r="D7" s="15" t="s">
        <v>58</v>
      </c>
      <c r="E7" s="19" t="s">
        <v>44</v>
      </c>
      <c r="F7" s="14" t="s">
        <v>59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4.5" customHeight="1">
      <c r="A8" s="1"/>
      <c r="B8" s="14" t="s">
        <v>60</v>
      </c>
      <c r="C8" s="14" t="s">
        <v>61</v>
      </c>
      <c r="D8" s="14" t="s">
        <v>62</v>
      </c>
      <c r="E8" s="19" t="s">
        <v>44</v>
      </c>
      <c r="F8" s="14" t="s">
        <v>63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3.25" customHeight="1">
      <c r="A9" s="1"/>
      <c r="B9" s="15" t="s">
        <v>64</v>
      </c>
      <c r="C9" s="14" t="s">
        <v>65</v>
      </c>
      <c r="D9" s="14" t="s">
        <v>66</v>
      </c>
      <c r="E9" s="18" t="s">
        <v>42</v>
      </c>
      <c r="F9" s="14" t="s">
        <v>67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3.25" customHeight="1">
      <c r="A10" s="1"/>
      <c r="B10" s="15" t="s">
        <v>68</v>
      </c>
      <c r="C10" s="14" t="s">
        <v>69</v>
      </c>
      <c r="D10" s="14" t="s">
        <v>70</v>
      </c>
      <c r="E10" s="18" t="s">
        <v>42</v>
      </c>
      <c r="F10" s="14" t="s">
        <v>71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1"/>
      <c r="C11" s="1"/>
      <c r="D11" s="1"/>
      <c r="E11" s="1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"/>
      <c r="B12" s="23" t="s">
        <v>72</v>
      </c>
      <c r="C12" s="1"/>
      <c r="D12" s="1"/>
      <c r="E12" s="1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2"/>
      <c r="B13" s="13" t="s">
        <v>51</v>
      </c>
      <c r="C13" s="13" t="s">
        <v>52</v>
      </c>
      <c r="D13" s="13" t="s">
        <v>53</v>
      </c>
      <c r="E13" s="13" t="s">
        <v>54</v>
      </c>
      <c r="F13" s="24" t="s">
        <v>55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4.5" customHeight="1">
      <c r="A14" s="1"/>
      <c r="B14" s="15" t="s">
        <v>73</v>
      </c>
      <c r="C14" s="14" t="s">
        <v>74</v>
      </c>
      <c r="D14" s="14" t="s">
        <v>75</v>
      </c>
      <c r="E14" s="18" t="s">
        <v>42</v>
      </c>
      <c r="F14" s="14" t="s">
        <v>76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4.5" customHeight="1">
      <c r="A15" s="1"/>
      <c r="B15" s="15" t="s">
        <v>77</v>
      </c>
      <c r="C15" s="15" t="s">
        <v>78</v>
      </c>
      <c r="D15" s="14" t="s">
        <v>79</v>
      </c>
      <c r="E15" s="18" t="s">
        <v>42</v>
      </c>
      <c r="F15" s="14" t="s">
        <v>80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3.25" customHeight="1">
      <c r="A16" s="1"/>
      <c r="B16" s="15" t="s">
        <v>81</v>
      </c>
      <c r="C16" s="14" t="s">
        <v>82</v>
      </c>
      <c r="D16" s="14" t="s">
        <v>83</v>
      </c>
      <c r="E16" s="18" t="s">
        <v>42</v>
      </c>
      <c r="F16" s="14" t="s">
        <v>84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3.25" customHeight="1">
      <c r="A17" s="1"/>
      <c r="B17" s="15" t="s">
        <v>85</v>
      </c>
      <c r="C17" s="15" t="s">
        <v>86</v>
      </c>
      <c r="D17" s="14" t="s">
        <v>87</v>
      </c>
      <c r="E17" s="19" t="s">
        <v>44</v>
      </c>
      <c r="F17" s="14" t="s">
        <v>88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/>
      <c r="B18" s="1"/>
      <c r="C18" s="1"/>
      <c r="D18" s="1"/>
      <c r="E18" s="1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"/>
      <c r="B19" s="23" t="s">
        <v>89</v>
      </c>
      <c r="C19" s="1"/>
      <c r="D19" s="1"/>
      <c r="E19" s="1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2"/>
      <c r="B20" s="13" t="s">
        <v>51</v>
      </c>
      <c r="C20" s="13" t="s">
        <v>52</v>
      </c>
      <c r="D20" s="13" t="s">
        <v>53</v>
      </c>
      <c r="E20" s="13" t="s">
        <v>54</v>
      </c>
      <c r="F20" s="24" t="s">
        <v>55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5.75" customHeight="1">
      <c r="A21" s="1"/>
      <c r="B21" s="15" t="s">
        <v>90</v>
      </c>
      <c r="C21" s="14" t="s">
        <v>91</v>
      </c>
      <c r="D21" s="14" t="s">
        <v>92</v>
      </c>
      <c r="E21" s="19" t="s">
        <v>44</v>
      </c>
      <c r="F21" s="14" t="s">
        <v>93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4.5" customHeight="1">
      <c r="A22" s="1"/>
      <c r="B22" s="15" t="s">
        <v>94</v>
      </c>
      <c r="C22" s="14" t="s">
        <v>95</v>
      </c>
      <c r="D22" s="15" t="s">
        <v>96</v>
      </c>
      <c r="E22" s="18" t="s">
        <v>42</v>
      </c>
      <c r="F22" s="14" t="s">
        <v>97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3.25" customHeight="1">
      <c r="A23" s="1"/>
      <c r="B23" s="15" t="s">
        <v>98</v>
      </c>
      <c r="C23" s="14" t="s">
        <v>99</v>
      </c>
      <c r="D23" s="15" t="s">
        <v>100</v>
      </c>
      <c r="E23" s="19" t="s">
        <v>44</v>
      </c>
      <c r="F23" s="14" t="s">
        <v>101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3.25" customHeight="1">
      <c r="A24" s="1"/>
      <c r="B24" s="15" t="s">
        <v>102</v>
      </c>
      <c r="C24" s="14" t="s">
        <v>103</v>
      </c>
      <c r="D24" s="14" t="s">
        <v>104</v>
      </c>
      <c r="E24" s="18" t="s">
        <v>42</v>
      </c>
      <c r="F24" s="14" t="s">
        <v>105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72.0" customHeight="1">
      <c r="A25" s="1"/>
      <c r="B25" s="25" t="s">
        <v>106</v>
      </c>
      <c r="C25" s="26"/>
      <c r="D25" s="26"/>
      <c r="E25" s="26"/>
      <c r="F25" s="27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1"/>
      <c r="C26" s="1"/>
      <c r="D26" s="1"/>
      <c r="E26" s="1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1"/>
      <c r="C27" s="1"/>
      <c r="D27" s="1"/>
      <c r="E27" s="1"/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/>
      <c r="B28" s="1"/>
      <c r="C28" s="1"/>
      <c r="D28" s="1"/>
      <c r="E28" s="1"/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1"/>
      <c r="C29" s="1"/>
      <c r="D29" s="1"/>
      <c r="E29" s="1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1"/>
      <c r="C30" s="1"/>
      <c r="D30" s="1"/>
      <c r="E30" s="1"/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/>
      <c r="B31" s="1"/>
      <c r="C31" s="1"/>
      <c r="D31" s="1"/>
      <c r="E31" s="1"/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1"/>
      <c r="C32" s="1"/>
      <c r="D32" s="1"/>
      <c r="E32" s="1"/>
      <c r="F32" s="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1"/>
      <c r="C33" s="1"/>
      <c r="D33" s="1"/>
      <c r="E33" s="1"/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1"/>
      <c r="C34" s="1"/>
      <c r="D34" s="1"/>
      <c r="E34" s="1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1"/>
      <c r="C35" s="1"/>
      <c r="D35" s="1"/>
      <c r="E35" s="1"/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1"/>
      <c r="C36" s="1"/>
      <c r="D36" s="1"/>
      <c r="E36" s="1"/>
      <c r="F36" s="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1"/>
      <c r="C37" s="1"/>
      <c r="D37" s="1"/>
      <c r="E37" s="1"/>
      <c r="F37" s="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1"/>
      <c r="C38" s="1"/>
      <c r="D38" s="1"/>
      <c r="E38" s="1"/>
      <c r="F38" s="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1"/>
      <c r="C39" s="1"/>
      <c r="D39" s="1"/>
      <c r="E39" s="1"/>
      <c r="F39" s="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1"/>
      <c r="C40" s="1"/>
      <c r="D40" s="1"/>
      <c r="E40" s="1"/>
      <c r="F40" s="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1"/>
      <c r="C41" s="1"/>
      <c r="D41" s="1"/>
      <c r="E41" s="1"/>
      <c r="F41" s="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1"/>
      <c r="E43" s="1"/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1"/>
      <c r="E44" s="1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1"/>
      <c r="E45" s="1"/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1"/>
      <c r="E46" s="1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1"/>
      <c r="E48" s="1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1"/>
      <c r="C49" s="1"/>
      <c r="D49" s="1"/>
      <c r="E49" s="1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1"/>
      <c r="C50" s="1"/>
      <c r="D50" s="1"/>
      <c r="E50" s="1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1"/>
      <c r="C51" s="1"/>
      <c r="D51" s="1"/>
      <c r="E51" s="1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1"/>
      <c r="C52" s="1"/>
      <c r="D52" s="1"/>
      <c r="E52" s="1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1"/>
      <c r="C53" s="1"/>
      <c r="D53" s="1"/>
      <c r="E53" s="1"/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1"/>
      <c r="C54" s="1"/>
      <c r="D54" s="1"/>
      <c r="E54" s="1"/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1"/>
      <c r="C55" s="1"/>
      <c r="D55" s="1"/>
      <c r="E55" s="1"/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1"/>
      <c r="C56" s="1"/>
      <c r="D56" s="1"/>
      <c r="E56" s="1"/>
      <c r="F56" s="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1"/>
      <c r="C57" s="1"/>
      <c r="D57" s="1"/>
      <c r="E57" s="1"/>
      <c r="F57" s="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1"/>
      <c r="C58" s="1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1"/>
      <c r="C59" s="1"/>
      <c r="D59" s="1"/>
      <c r="E59" s="1"/>
      <c r="F59" s="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1"/>
      <c r="C60" s="1"/>
      <c r="D60" s="1"/>
      <c r="E60" s="1"/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1"/>
      <c r="C61" s="1"/>
      <c r="D61" s="1"/>
      <c r="E61" s="1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1"/>
      <c r="C62" s="1"/>
      <c r="D62" s="1"/>
      <c r="E62" s="1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1"/>
      <c r="C63" s="1"/>
      <c r="D63" s="1"/>
      <c r="E63" s="1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1"/>
      <c r="C64" s="1"/>
      <c r="D64" s="1"/>
      <c r="E64" s="1"/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1"/>
      <c r="C65" s="1"/>
      <c r="D65" s="1"/>
      <c r="E65" s="1"/>
      <c r="F65" s="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1"/>
      <c r="C66" s="1"/>
      <c r="D66" s="1"/>
      <c r="E66" s="1"/>
      <c r="F66" s="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1"/>
      <c r="C67" s="1"/>
      <c r="D67" s="1"/>
      <c r="E67" s="1"/>
      <c r="F67" s="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1"/>
      <c r="C68" s="1"/>
      <c r="D68" s="1"/>
      <c r="E68" s="1"/>
      <c r="F68" s="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1"/>
      <c r="C69" s="1"/>
      <c r="D69" s="1"/>
      <c r="E69" s="1"/>
      <c r="F69" s="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1"/>
      <c r="C70" s="1"/>
      <c r="D70" s="1"/>
      <c r="E70" s="1"/>
      <c r="F70" s="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1"/>
      <c r="C71" s="1"/>
      <c r="D71" s="1"/>
      <c r="E71" s="1"/>
      <c r="F71" s="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1"/>
      <c r="C72" s="1"/>
      <c r="D72" s="1"/>
      <c r="E72" s="1"/>
      <c r="F72" s="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1"/>
      <c r="C73" s="1"/>
      <c r="D73" s="1"/>
      <c r="E73" s="1"/>
      <c r="F73" s="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1"/>
      <c r="C74" s="1"/>
      <c r="D74" s="1"/>
      <c r="E74" s="1"/>
      <c r="F74" s="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1"/>
      <c r="C75" s="1"/>
      <c r="D75" s="1"/>
      <c r="E75" s="1"/>
      <c r="F75" s="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1"/>
      <c r="C76" s="1"/>
      <c r="D76" s="1"/>
      <c r="E76" s="1"/>
      <c r="F76" s="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1"/>
      <c r="C77" s="1"/>
      <c r="D77" s="1"/>
      <c r="E77" s="1"/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1"/>
      <c r="D78" s="1"/>
      <c r="E78" s="1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1"/>
      <c r="D79" s="1"/>
      <c r="E79" s="1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1"/>
      <c r="E80" s="1"/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1"/>
      <c r="D81" s="1"/>
      <c r="E81" s="1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1"/>
      <c r="D82" s="1"/>
      <c r="E82" s="1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1"/>
      <c r="D83" s="1"/>
      <c r="E83" s="1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1"/>
      <c r="D84" s="1"/>
      <c r="E84" s="1"/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1"/>
      <c r="D85" s="1"/>
      <c r="E85" s="1"/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1"/>
      <c r="D86" s="1"/>
      <c r="E86" s="1"/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1"/>
      <c r="D87" s="1"/>
      <c r="E87" s="1"/>
      <c r="F87" s="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1"/>
      <c r="D88" s="1"/>
      <c r="E88" s="1"/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1"/>
      <c r="E89" s="1"/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1"/>
      <c r="E90" s="1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1"/>
      <c r="E91" s="1"/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1"/>
      <c r="E92" s="1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1"/>
      <c r="E93" s="1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1"/>
      <c r="E94" s="1"/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1"/>
      <c r="E95" s="1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1"/>
      <c r="E96" s="1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1"/>
      <c r="E97" s="1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1"/>
      <c r="E98" s="1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1"/>
      <c r="E99" s="1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1"/>
      <c r="E100" s="1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1"/>
      <c r="E101" s="1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1"/>
      <c r="E102" s="1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1"/>
      <c r="E103" s="1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1"/>
      <c r="E104" s="1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1"/>
      <c r="E105" s="1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1"/>
      <c r="E110" s="1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1"/>
      <c r="E111" s="1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1"/>
      <c r="E112" s="1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1"/>
      <c r="E113" s="1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1"/>
      <c r="E114" s="1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1"/>
      <c r="E115" s="1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1"/>
      <c r="E116" s="1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1"/>
      <c r="E117" s="1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1"/>
      <c r="E118" s="1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1"/>
      <c r="E119" s="1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1"/>
      <c r="E120" s="1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1"/>
      <c r="D121" s="1"/>
      <c r="E121" s="1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1"/>
      <c r="D122" s="1"/>
      <c r="E122" s="1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1"/>
      <c r="D123" s="1"/>
      <c r="E123" s="1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1"/>
      <c r="D124" s="1"/>
      <c r="E124" s="1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1"/>
      <c r="D125" s="1"/>
      <c r="E125" s="1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1"/>
      <c r="D126" s="1"/>
      <c r="E126" s="1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1"/>
      <c r="D127" s="1"/>
      <c r="E127" s="1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1"/>
      <c r="D128" s="1"/>
      <c r="E128" s="1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1"/>
      <c r="D129" s="1"/>
      <c r="E129" s="1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1"/>
      <c r="D130" s="1"/>
      <c r="E130" s="1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1"/>
      <c r="D131" s="1"/>
      <c r="E131" s="1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1"/>
      <c r="D132" s="1"/>
      <c r="E132" s="1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1"/>
      <c r="D133" s="1"/>
      <c r="E133" s="1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1"/>
      <c r="D134" s="1"/>
      <c r="E134" s="1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1"/>
      <c r="D135" s="1"/>
      <c r="E135" s="1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1"/>
      <c r="D136" s="1"/>
      <c r="E136" s="1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1"/>
      <c r="D137" s="1"/>
      <c r="E137" s="1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1"/>
      <c r="D138" s="1"/>
      <c r="E138" s="1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1"/>
      <c r="D139" s="1"/>
      <c r="E139" s="1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1"/>
      <c r="D140" s="1"/>
      <c r="E140" s="1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1"/>
      <c r="D141" s="1"/>
      <c r="E141" s="1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1"/>
      <c r="D142" s="1"/>
      <c r="E142" s="1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1"/>
      <c r="D143" s="1"/>
      <c r="E143" s="1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1"/>
      <c r="E144" s="1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1"/>
      <c r="D145" s="1"/>
      <c r="E145" s="1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1"/>
      <c r="D146" s="1"/>
      <c r="E146" s="1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1"/>
      <c r="D147" s="1"/>
      <c r="E147" s="1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1"/>
      <c r="D148" s="1"/>
      <c r="E148" s="1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1"/>
      <c r="D149" s="1"/>
      <c r="E149" s="1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1"/>
      <c r="D150" s="1"/>
      <c r="E150" s="1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1"/>
      <c r="D151" s="1"/>
      <c r="E151" s="1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1"/>
      <c r="D152" s="1"/>
      <c r="E152" s="1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1"/>
      <c r="D153" s="1"/>
      <c r="E153" s="1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1"/>
      <c r="D154" s="1"/>
      <c r="E154" s="1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1"/>
      <c r="D155" s="1"/>
      <c r="E155" s="1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1"/>
      <c r="D156" s="1"/>
      <c r="E156" s="1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1"/>
      <c r="D157" s="1"/>
      <c r="E157" s="1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1"/>
      <c r="D158" s="1"/>
      <c r="E158" s="1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1"/>
      <c r="D159" s="1"/>
      <c r="E159" s="1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1"/>
      <c r="D160" s="1"/>
      <c r="E160" s="1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1"/>
      <c r="D161" s="1"/>
      <c r="E161" s="1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1"/>
      <c r="D162" s="1"/>
      <c r="E162" s="1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1"/>
      <c r="D163" s="1"/>
      <c r="E163" s="1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1"/>
      <c r="D164" s="1"/>
      <c r="E164" s="1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1"/>
      <c r="D165" s="1"/>
      <c r="E165" s="1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1"/>
      <c r="D166" s="1"/>
      <c r="E166" s="1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1"/>
      <c r="D167" s="1"/>
      <c r="E167" s="1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1"/>
      <c r="D168" s="1"/>
      <c r="E168" s="1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1"/>
      <c r="D169" s="1"/>
      <c r="E169" s="1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1"/>
      <c r="D170" s="1"/>
      <c r="E170" s="1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1"/>
      <c r="D171" s="1"/>
      <c r="E171" s="1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1"/>
      <c r="D172" s="1"/>
      <c r="E172" s="1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1"/>
      <c r="D173" s="1"/>
      <c r="E173" s="1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1"/>
      <c r="D174" s="1"/>
      <c r="E174" s="1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1"/>
      <c r="D175" s="1"/>
      <c r="E175" s="1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1"/>
      <c r="D176" s="1"/>
      <c r="E176" s="1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1"/>
      <c r="E177" s="1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1"/>
      <c r="D178" s="1"/>
      <c r="E178" s="1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1"/>
      <c r="D179" s="1"/>
      <c r="E179" s="1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1"/>
      <c r="D180" s="1"/>
      <c r="E180" s="1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1"/>
      <c r="D181" s="1"/>
      <c r="E181" s="1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1"/>
      <c r="D182" s="1"/>
      <c r="E182" s="1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1"/>
      <c r="D183" s="1"/>
      <c r="E183" s="1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1"/>
      <c r="D184" s="1"/>
      <c r="E184" s="1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1"/>
      <c r="D185" s="1"/>
      <c r="E185" s="1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1"/>
      <c r="D186" s="1"/>
      <c r="E186" s="1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1"/>
      <c r="D187" s="1"/>
      <c r="E187" s="1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1"/>
      <c r="D188" s="1"/>
      <c r="E188" s="1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1"/>
      <c r="D189" s="1"/>
      <c r="E189" s="1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1"/>
      <c r="D190" s="1"/>
      <c r="E190" s="1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1"/>
      <c r="D191" s="1"/>
      <c r="E191" s="1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1"/>
      <c r="D192" s="1"/>
      <c r="E192" s="1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1"/>
      <c r="D193" s="1"/>
      <c r="E193" s="1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1"/>
      <c r="D194" s="1"/>
      <c r="E194" s="1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1"/>
      <c r="D195" s="1"/>
      <c r="E195" s="1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1"/>
      <c r="D196" s="1"/>
      <c r="E196" s="1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1"/>
      <c r="D197" s="1"/>
      <c r="E197" s="1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1"/>
      <c r="D198" s="1"/>
      <c r="E198" s="1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1"/>
      <c r="D199" s="1"/>
      <c r="E199" s="1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1"/>
      <c r="D200" s="1"/>
      <c r="E200" s="1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1"/>
      <c r="D201" s="1"/>
      <c r="E201" s="1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1"/>
      <c r="D202" s="1"/>
      <c r="E202" s="1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1"/>
      <c r="D203" s="1"/>
      <c r="E203" s="1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1"/>
      <c r="D204" s="1"/>
      <c r="E204" s="1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1"/>
      <c r="D205" s="1"/>
      <c r="E205" s="1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1"/>
      <c r="D206" s="1"/>
      <c r="E206" s="1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1"/>
      <c r="D207" s="1"/>
      <c r="E207" s="1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1"/>
      <c r="D208" s="1"/>
      <c r="E208" s="1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1"/>
      <c r="D209" s="1"/>
      <c r="E209" s="1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1"/>
      <c r="D210" s="1"/>
      <c r="E210" s="1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1"/>
      <c r="D211" s="1"/>
      <c r="E211" s="1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1"/>
      <c r="D212" s="1"/>
      <c r="E212" s="1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1"/>
      <c r="D213" s="1"/>
      <c r="E213" s="1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1"/>
      <c r="D214" s="1"/>
      <c r="E214" s="1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1"/>
      <c r="D215" s="1"/>
      <c r="E215" s="1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1"/>
      <c r="D216" s="1"/>
      <c r="E216" s="1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1"/>
      <c r="D217" s="1"/>
      <c r="E217" s="1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1"/>
      <c r="D218" s="1"/>
      <c r="E218" s="1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1"/>
      <c r="D219" s="1"/>
      <c r="E219" s="1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1"/>
      <c r="D220" s="1"/>
      <c r="E220" s="1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1"/>
      <c r="D221" s="1"/>
      <c r="E221" s="1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1"/>
      <c r="D222" s="1"/>
      <c r="E222" s="1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1"/>
      <c r="D223" s="1"/>
      <c r="E223" s="1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1"/>
      <c r="D224" s="1"/>
      <c r="E224" s="1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1"/>
      <c r="D225" s="1"/>
      <c r="E225" s="1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3">
    <mergeCell ref="B2:F2"/>
    <mergeCell ref="B3:F3"/>
    <mergeCell ref="B25:F25"/>
  </mergeCells>
  <printOptions horizontalCentered="1"/>
  <pageMargins bottom="0.6" footer="0.0" header="0.0" left="0.4" right="0.4" top="0.6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5.0"/>
    <col customWidth="1" min="3" max="3" width="22.0"/>
    <col customWidth="1" min="4" max="4" width="18.0"/>
    <col customWidth="1" min="5" max="5" width="28.0"/>
    <col customWidth="1" min="6" max="6" width="13.71"/>
    <col customWidth="1" min="7" max="7" width="32.0"/>
    <col customWidth="1" min="8" max="8" width="38.0"/>
    <col customWidth="1" min="9" max="9" width="14.0"/>
    <col customWidth="1" min="10" max="10" width="2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1"/>
      <c r="B2" s="21" t="s">
        <v>107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/>
      <c r="B3" s="28" t="s">
        <v>108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75" customHeight="1">
      <c r="A5" s="12"/>
      <c r="B5" s="12" t="s">
        <v>109</v>
      </c>
      <c r="C5" s="13" t="s">
        <v>110</v>
      </c>
      <c r="D5" s="13" t="s">
        <v>111</v>
      </c>
      <c r="E5" s="13" t="s">
        <v>112</v>
      </c>
      <c r="F5" s="12" t="s">
        <v>113</v>
      </c>
      <c r="G5" s="13" t="s">
        <v>114</v>
      </c>
      <c r="H5" s="13" t="s">
        <v>115</v>
      </c>
      <c r="I5" s="13" t="s">
        <v>116</v>
      </c>
      <c r="J5" s="13" t="s">
        <v>117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3.25" customHeight="1">
      <c r="A6" s="1"/>
      <c r="B6" s="29" t="s">
        <v>118</v>
      </c>
      <c r="C6" s="15" t="s">
        <v>119</v>
      </c>
      <c r="D6" s="15" t="s">
        <v>120</v>
      </c>
      <c r="E6" s="14" t="s">
        <v>121</v>
      </c>
      <c r="F6" s="15" t="s">
        <v>122</v>
      </c>
      <c r="G6" s="14" t="s">
        <v>123</v>
      </c>
      <c r="H6" s="16" t="s">
        <v>124</v>
      </c>
      <c r="I6" s="14"/>
      <c r="J6" s="15" t="s">
        <v>125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"/>
      <c r="B7" s="29" t="s">
        <v>126</v>
      </c>
      <c r="C7" s="15" t="s">
        <v>127</v>
      </c>
      <c r="D7" s="15" t="s">
        <v>120</v>
      </c>
      <c r="E7" s="14" t="s">
        <v>128</v>
      </c>
      <c r="F7" s="15" t="s">
        <v>122</v>
      </c>
      <c r="G7" s="14" t="s">
        <v>129</v>
      </c>
      <c r="H7" s="16" t="s">
        <v>130</v>
      </c>
      <c r="I7" s="14"/>
      <c r="J7" s="15" t="s">
        <v>125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8.25" customHeight="1">
      <c r="A8" s="1"/>
      <c r="B8" s="29" t="s">
        <v>131</v>
      </c>
      <c r="C8" s="15" t="s">
        <v>132</v>
      </c>
      <c r="D8" s="15" t="s">
        <v>120</v>
      </c>
      <c r="E8" s="14" t="s">
        <v>133</v>
      </c>
      <c r="F8" s="15" t="s">
        <v>122</v>
      </c>
      <c r="G8" s="14" t="s">
        <v>134</v>
      </c>
      <c r="H8" s="15" t="s">
        <v>135</v>
      </c>
      <c r="I8" s="14"/>
      <c r="J8" s="16" t="s">
        <v>136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"/>
      <c r="B9" s="29" t="s">
        <v>137</v>
      </c>
      <c r="C9" s="15" t="s">
        <v>138</v>
      </c>
      <c r="D9" s="15" t="s">
        <v>120</v>
      </c>
      <c r="E9" s="14" t="s">
        <v>139</v>
      </c>
      <c r="F9" s="15" t="s">
        <v>122</v>
      </c>
      <c r="G9" s="14" t="s">
        <v>140</v>
      </c>
      <c r="H9" s="15" t="s">
        <v>141</v>
      </c>
      <c r="I9" s="14"/>
      <c r="J9" s="16" t="s">
        <v>136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3.25" customHeight="1">
      <c r="A10" s="1"/>
      <c r="B10" s="29" t="s">
        <v>142</v>
      </c>
      <c r="C10" s="15" t="s">
        <v>143</v>
      </c>
      <c r="D10" s="15" t="s">
        <v>120</v>
      </c>
      <c r="E10" s="14" t="s">
        <v>144</v>
      </c>
      <c r="F10" s="15" t="s">
        <v>122</v>
      </c>
      <c r="G10" s="14" t="s">
        <v>145</v>
      </c>
      <c r="H10" s="15" t="s">
        <v>146</v>
      </c>
      <c r="I10" s="14"/>
      <c r="J10" s="14" t="s">
        <v>147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3.25" customHeight="1">
      <c r="A11" s="1"/>
      <c r="B11" s="29" t="s">
        <v>148</v>
      </c>
      <c r="C11" s="15" t="s">
        <v>149</v>
      </c>
      <c r="D11" s="15" t="s">
        <v>150</v>
      </c>
      <c r="E11" s="14" t="s">
        <v>144</v>
      </c>
      <c r="F11" s="15" t="s">
        <v>122</v>
      </c>
      <c r="G11" s="14" t="s">
        <v>151</v>
      </c>
      <c r="H11" s="15" t="s">
        <v>146</v>
      </c>
      <c r="I11" s="14"/>
      <c r="J11" s="14" t="s">
        <v>152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"/>
      <c r="B12" s="29" t="s">
        <v>153</v>
      </c>
      <c r="C12" s="15" t="s">
        <v>154</v>
      </c>
      <c r="D12" s="15" t="s">
        <v>120</v>
      </c>
      <c r="E12" s="14" t="s">
        <v>155</v>
      </c>
      <c r="F12" s="15" t="s">
        <v>122</v>
      </c>
      <c r="G12" s="14" t="s">
        <v>156</v>
      </c>
      <c r="H12" s="15" t="s">
        <v>157</v>
      </c>
      <c r="I12" s="14"/>
      <c r="J12" s="16" t="s">
        <v>136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"/>
      <c r="B13" s="29" t="s">
        <v>158</v>
      </c>
      <c r="C13" s="15" t="s">
        <v>159</v>
      </c>
      <c r="D13" s="15" t="s">
        <v>150</v>
      </c>
      <c r="E13" s="14" t="s">
        <v>155</v>
      </c>
      <c r="F13" s="15" t="s">
        <v>122</v>
      </c>
      <c r="G13" s="14" t="s">
        <v>160</v>
      </c>
      <c r="H13" s="15" t="s">
        <v>157</v>
      </c>
      <c r="I13" s="14"/>
      <c r="J13" s="16" t="s">
        <v>161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3.25" customHeight="1">
      <c r="A14" s="1"/>
      <c r="B14" s="29" t="s">
        <v>162</v>
      </c>
      <c r="C14" s="15" t="s">
        <v>163</v>
      </c>
      <c r="D14" s="15" t="s">
        <v>164</v>
      </c>
      <c r="E14" s="14" t="s">
        <v>165</v>
      </c>
      <c r="F14" s="15" t="s">
        <v>122</v>
      </c>
      <c r="G14" s="14" t="s">
        <v>166</v>
      </c>
      <c r="H14" s="15" t="s">
        <v>167</v>
      </c>
      <c r="I14" s="14"/>
      <c r="J14" s="16" t="s">
        <v>168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3.25" customHeight="1">
      <c r="A15" s="1"/>
      <c r="B15" s="29" t="s">
        <v>169</v>
      </c>
      <c r="C15" s="15" t="s">
        <v>170</v>
      </c>
      <c r="D15" s="15" t="s">
        <v>120</v>
      </c>
      <c r="E15" s="14" t="s">
        <v>171</v>
      </c>
      <c r="F15" s="15" t="s">
        <v>172</v>
      </c>
      <c r="G15" s="14" t="s">
        <v>173</v>
      </c>
      <c r="H15" s="15" t="s">
        <v>174</v>
      </c>
      <c r="I15" s="14"/>
      <c r="J15" s="16" t="s">
        <v>136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4.5" customHeight="1">
      <c r="A16" s="1"/>
      <c r="B16" s="29" t="s">
        <v>175</v>
      </c>
      <c r="C16" s="15" t="s">
        <v>176</v>
      </c>
      <c r="D16" s="15" t="s">
        <v>150</v>
      </c>
      <c r="E16" s="14" t="s">
        <v>177</v>
      </c>
      <c r="F16" s="15" t="s">
        <v>122</v>
      </c>
      <c r="G16" s="14" t="s">
        <v>178</v>
      </c>
      <c r="H16" s="15" t="s">
        <v>179</v>
      </c>
      <c r="I16" s="14"/>
      <c r="J16" s="14" t="s">
        <v>180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3.25" customHeight="1">
      <c r="A17" s="1"/>
      <c r="B17" s="29" t="s">
        <v>181</v>
      </c>
      <c r="C17" s="15" t="s">
        <v>182</v>
      </c>
      <c r="D17" s="15" t="s">
        <v>150</v>
      </c>
      <c r="E17" s="30" t="s">
        <v>183</v>
      </c>
      <c r="F17" s="15" t="s">
        <v>122</v>
      </c>
      <c r="G17" s="14" t="s">
        <v>184</v>
      </c>
      <c r="H17" s="16" t="s">
        <v>185</v>
      </c>
      <c r="I17" s="14"/>
      <c r="J17" s="16" t="s">
        <v>186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"/>
      <c r="B18" s="29" t="s">
        <v>187</v>
      </c>
      <c r="C18" s="15" t="s">
        <v>188</v>
      </c>
      <c r="D18" s="15" t="s">
        <v>120</v>
      </c>
      <c r="E18" s="14" t="s">
        <v>189</v>
      </c>
      <c r="F18" s="15" t="s">
        <v>172</v>
      </c>
      <c r="G18" s="14" t="s">
        <v>190</v>
      </c>
      <c r="H18" s="14" t="s">
        <v>191</v>
      </c>
      <c r="I18" s="20" t="s">
        <v>46</v>
      </c>
      <c r="J18" s="15" t="s">
        <v>192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"/>
      <c r="B19" s="29" t="s">
        <v>193</v>
      </c>
      <c r="C19" s="15" t="s">
        <v>194</v>
      </c>
      <c r="D19" s="15" t="s">
        <v>150</v>
      </c>
      <c r="E19" s="14" t="s">
        <v>189</v>
      </c>
      <c r="F19" s="15" t="s">
        <v>122</v>
      </c>
      <c r="G19" s="14" t="s">
        <v>195</v>
      </c>
      <c r="H19" s="14" t="s">
        <v>196</v>
      </c>
      <c r="I19" s="20" t="s">
        <v>46</v>
      </c>
      <c r="J19" s="15" t="s">
        <v>192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3.25" customHeight="1">
      <c r="A20" s="1"/>
      <c r="B20" s="29" t="s">
        <v>197</v>
      </c>
      <c r="C20" s="15" t="s">
        <v>198</v>
      </c>
      <c r="D20" s="15" t="s">
        <v>120</v>
      </c>
      <c r="E20" s="14" t="s">
        <v>199</v>
      </c>
      <c r="F20" s="15" t="s">
        <v>172</v>
      </c>
      <c r="G20" s="14" t="s">
        <v>200</v>
      </c>
      <c r="H20" s="14" t="s">
        <v>201</v>
      </c>
      <c r="I20" s="20" t="s">
        <v>46</v>
      </c>
      <c r="J20" s="14" t="s">
        <v>202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3.25" customHeight="1">
      <c r="A21" s="1"/>
      <c r="B21" s="31" t="s">
        <v>203</v>
      </c>
      <c r="C21" s="32" t="s">
        <v>204</v>
      </c>
      <c r="D21" s="32" t="s">
        <v>120</v>
      </c>
      <c r="E21" s="33" t="s">
        <v>205</v>
      </c>
      <c r="F21" s="32" t="s">
        <v>206</v>
      </c>
      <c r="G21" s="33" t="s">
        <v>207</v>
      </c>
      <c r="H21" s="32" t="s">
        <v>208</v>
      </c>
      <c r="I21" s="19" t="s">
        <v>44</v>
      </c>
      <c r="J21" s="33" t="s">
        <v>209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3.25" customHeight="1">
      <c r="A22" s="1"/>
      <c r="B22" s="31" t="s">
        <v>210</v>
      </c>
      <c r="C22" s="32" t="s">
        <v>211</v>
      </c>
      <c r="D22" s="32" t="s">
        <v>120</v>
      </c>
      <c r="E22" s="33" t="s">
        <v>212</v>
      </c>
      <c r="F22" s="32" t="s">
        <v>172</v>
      </c>
      <c r="G22" s="33" t="s">
        <v>213</v>
      </c>
      <c r="H22" s="32" t="s">
        <v>214</v>
      </c>
      <c r="I22" s="19" t="s">
        <v>44</v>
      </c>
      <c r="J22" s="33" t="s">
        <v>215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1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1"/>
      <c r="B24" s="10" t="s">
        <v>216</v>
      </c>
      <c r="C24" s="1"/>
      <c r="D24" s="1"/>
      <c r="E24" s="1"/>
      <c r="F24" s="1"/>
      <c r="G24" s="1"/>
      <c r="H24" s="1"/>
      <c r="I24" s="1"/>
      <c r="J24" s="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1"/>
      <c r="B25" s="34" t="s">
        <v>217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1"/>
      <c r="B26" s="34" t="s">
        <v>218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1"/>
      <c r="B27" s="35" t="s">
        <v>219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1"/>
      <c r="B28" s="34" t="s">
        <v>220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1"/>
      <c r="B29" s="34" t="s">
        <v>221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3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</sheetData>
  <mergeCells count="7">
    <mergeCell ref="B2:J2"/>
    <mergeCell ref="B3:J3"/>
    <mergeCell ref="B25:J25"/>
    <mergeCell ref="B26:J26"/>
    <mergeCell ref="B27:J27"/>
    <mergeCell ref="B28:J28"/>
    <mergeCell ref="B29:J29"/>
  </mergeCells>
  <printOptions horizontalCentered="1"/>
  <pageMargins bottom="0.6" footer="0.0" header="0.0" left="0.4" right="0.4" top="0.6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18.0"/>
    <col customWidth="1" min="3" max="3" width="22.0"/>
    <col customWidth="1" min="4" max="4" width="20.29"/>
    <col customWidth="1" min="5" max="5" width="26.14"/>
    <col customWidth="1" min="6" max="6" width="26.0"/>
    <col customWidth="1" min="7" max="7" width="38.0"/>
    <col customWidth="1" min="8" max="9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1"/>
      <c r="B2" s="21" t="s">
        <v>222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/>
      <c r="B3" s="22" t="s">
        <v>223</v>
      </c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"/>
      <c r="B5" s="23" t="s">
        <v>224</v>
      </c>
      <c r="C5" s="1"/>
      <c r="D5" s="1"/>
      <c r="E5" s="1"/>
      <c r="F5" s="1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75" customHeight="1">
      <c r="A6" s="12"/>
      <c r="B6" s="12" t="s">
        <v>109</v>
      </c>
      <c r="C6" s="13" t="s">
        <v>225</v>
      </c>
      <c r="D6" s="13" t="s">
        <v>226</v>
      </c>
      <c r="E6" s="13" t="s">
        <v>227</v>
      </c>
      <c r="F6" s="13" t="s">
        <v>117</v>
      </c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3.75" customHeight="1">
      <c r="A7" s="1"/>
      <c r="B7" s="29" t="s">
        <v>228</v>
      </c>
      <c r="C7" s="16" t="s">
        <v>229</v>
      </c>
      <c r="D7" s="16" t="s">
        <v>230</v>
      </c>
      <c r="E7" s="16" t="s">
        <v>231</v>
      </c>
      <c r="F7" s="15" t="s">
        <v>232</v>
      </c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73.5" customHeight="1">
      <c r="A8" s="1"/>
      <c r="B8" s="36" t="s">
        <v>233</v>
      </c>
      <c r="C8" s="37" t="s">
        <v>234</v>
      </c>
      <c r="D8" s="37" t="s">
        <v>235</v>
      </c>
      <c r="E8" s="37" t="s">
        <v>231</v>
      </c>
      <c r="F8" s="38" t="s">
        <v>209</v>
      </c>
      <c r="G8" s="1"/>
      <c r="H8" s="1"/>
      <c r="I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0.75" customHeight="1">
      <c r="A9" s="1"/>
      <c r="B9" s="39" t="s">
        <v>236</v>
      </c>
      <c r="G9" s="1"/>
      <c r="H9" s="1"/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4.0" customHeight="1">
      <c r="A10" s="1"/>
      <c r="B10" s="40" t="s">
        <v>237</v>
      </c>
      <c r="C10" s="41" t="s">
        <v>238</v>
      </c>
      <c r="D10" s="41" t="s">
        <v>239</v>
      </c>
      <c r="E10" s="41" t="s">
        <v>240</v>
      </c>
      <c r="F10" s="1"/>
      <c r="G10" s="1"/>
      <c r="H10" s="1"/>
      <c r="I10" s="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1"/>
      <c r="B11" s="42" t="s">
        <v>241</v>
      </c>
      <c r="C11" s="43" t="s">
        <v>242</v>
      </c>
      <c r="D11" s="44" t="s">
        <v>243</v>
      </c>
      <c r="E11" s="44" t="s">
        <v>244</v>
      </c>
      <c r="F11" s="1"/>
      <c r="G11" s="1"/>
      <c r="H11" s="1"/>
      <c r="I11" s="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75" customHeight="1">
      <c r="A12" s="1"/>
      <c r="B12" s="45" t="s">
        <v>245</v>
      </c>
      <c r="C12" s="46" t="s">
        <v>243</v>
      </c>
      <c r="D12" s="47" t="s">
        <v>246</v>
      </c>
      <c r="E12" s="47" t="s">
        <v>243</v>
      </c>
      <c r="F12" s="1"/>
      <c r="G12" s="1"/>
      <c r="H12" s="1"/>
      <c r="I12" s="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1"/>
      <c r="B13" s="48" t="s">
        <v>247</v>
      </c>
      <c r="F13" s="49"/>
      <c r="G13" s="1"/>
      <c r="H13" s="1"/>
      <c r="I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9.75" customHeight="1">
      <c r="A14" s="1"/>
      <c r="B14" s="48" t="s">
        <v>248</v>
      </c>
      <c r="F14" s="1"/>
      <c r="G14" s="1"/>
      <c r="H14" s="1"/>
      <c r="I14" s="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3.25" customHeight="1">
      <c r="A15" s="1"/>
      <c r="B15" s="1"/>
      <c r="C15" s="1"/>
      <c r="D15" s="1"/>
      <c r="E15" s="1"/>
      <c r="F15" s="1"/>
      <c r="G15" s="1"/>
      <c r="H15" s="1"/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4.5" customHeight="1">
      <c r="A16" s="1"/>
      <c r="B16" s="23" t="s">
        <v>249</v>
      </c>
      <c r="C16" s="1"/>
      <c r="D16" s="1"/>
      <c r="E16" s="1"/>
      <c r="F16" s="1"/>
      <c r="G16" s="1"/>
      <c r="H16" s="1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4.5" customHeight="1">
      <c r="A17" s="12"/>
      <c r="B17" s="12" t="s">
        <v>109</v>
      </c>
      <c r="C17" s="13" t="s">
        <v>250</v>
      </c>
      <c r="D17" s="13" t="s">
        <v>251</v>
      </c>
      <c r="E17" s="13" t="s">
        <v>252</v>
      </c>
      <c r="F17" s="13" t="s">
        <v>253</v>
      </c>
      <c r="G17" s="13" t="s">
        <v>254</v>
      </c>
      <c r="H17" s="13" t="s">
        <v>54</v>
      </c>
      <c r="I17" s="50" t="s">
        <v>255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1.0" customHeight="1">
      <c r="A18" s="1"/>
      <c r="B18" s="29" t="s">
        <v>256</v>
      </c>
      <c r="C18" s="51" t="s">
        <v>257</v>
      </c>
      <c r="D18" s="52">
        <v>30.0</v>
      </c>
      <c r="E18" s="53" t="s">
        <v>258</v>
      </c>
      <c r="F18" s="53" t="s">
        <v>259</v>
      </c>
      <c r="G18" s="53" t="s">
        <v>260</v>
      </c>
      <c r="H18" s="54" t="s">
        <v>44</v>
      </c>
      <c r="I18" s="55" t="s">
        <v>261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05.0" customHeight="1">
      <c r="A19" s="1"/>
      <c r="B19" s="56" t="s">
        <v>262</v>
      </c>
      <c r="C19" s="57" t="s">
        <v>263</v>
      </c>
      <c r="D19" s="57">
        <v>20.0</v>
      </c>
      <c r="E19" s="58" t="s">
        <v>264</v>
      </c>
      <c r="F19" s="58" t="s">
        <v>265</v>
      </c>
      <c r="G19" s="58" t="s">
        <v>266</v>
      </c>
      <c r="H19" s="59" t="s">
        <v>44</v>
      </c>
      <c r="I19" s="60" t="s">
        <v>267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6.0" customHeight="1">
      <c r="A20" s="1"/>
      <c r="B20" s="56" t="s">
        <v>268</v>
      </c>
      <c r="C20" s="57" t="s">
        <v>269</v>
      </c>
      <c r="D20" s="57">
        <v>10.0</v>
      </c>
      <c r="E20" s="58" t="s">
        <v>270</v>
      </c>
      <c r="F20" s="58" t="s">
        <v>271</v>
      </c>
      <c r="G20" s="58" t="s">
        <v>272</v>
      </c>
      <c r="H20" s="59" t="s">
        <v>44</v>
      </c>
      <c r="I20" s="61" t="s">
        <v>273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9.25" customHeight="1">
      <c r="A21" s="1"/>
      <c r="B21" s="29" t="s">
        <v>274</v>
      </c>
      <c r="C21" s="62" t="s">
        <v>275</v>
      </c>
      <c r="D21" s="63">
        <v>10.0</v>
      </c>
      <c r="E21" s="64" t="s">
        <v>276</v>
      </c>
      <c r="F21" s="64" t="s">
        <v>277</v>
      </c>
      <c r="G21" s="64" t="s">
        <v>278</v>
      </c>
      <c r="H21" s="65" t="s">
        <v>44</v>
      </c>
      <c r="I21" s="66" t="s">
        <v>279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5.25" customHeight="1">
      <c r="A22" s="1"/>
      <c r="B22" s="29" t="s">
        <v>280</v>
      </c>
      <c r="C22" s="67" t="s">
        <v>281</v>
      </c>
      <c r="D22" s="29">
        <v>10.0</v>
      </c>
      <c r="E22" s="15" t="s">
        <v>282</v>
      </c>
      <c r="F22" s="15" t="s">
        <v>283</v>
      </c>
      <c r="G22" s="15" t="s">
        <v>284</v>
      </c>
      <c r="H22" s="19" t="s">
        <v>44</v>
      </c>
      <c r="I22" s="68" t="s">
        <v>285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3.0" customHeight="1">
      <c r="A23" s="1"/>
      <c r="B23" s="29" t="s">
        <v>286</v>
      </c>
      <c r="C23" s="67" t="s">
        <v>287</v>
      </c>
      <c r="D23" s="29">
        <v>10.0</v>
      </c>
      <c r="E23" s="15" t="s">
        <v>288</v>
      </c>
      <c r="F23" s="14" t="s">
        <v>289</v>
      </c>
      <c r="G23" s="15" t="s">
        <v>290</v>
      </c>
      <c r="H23" s="19" t="s">
        <v>44</v>
      </c>
      <c r="I23" s="68" t="s">
        <v>291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1"/>
      <c r="B24" s="29" t="s">
        <v>292</v>
      </c>
      <c r="C24" s="67" t="s">
        <v>293</v>
      </c>
      <c r="D24" s="29">
        <v>5.0</v>
      </c>
      <c r="E24" s="15" t="s">
        <v>294</v>
      </c>
      <c r="F24" s="15" t="s">
        <v>295</v>
      </c>
      <c r="G24" s="15" t="s">
        <v>296</v>
      </c>
      <c r="H24" s="19" t="s">
        <v>44</v>
      </c>
      <c r="I24" s="68" t="s">
        <v>297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5.75" customHeight="1">
      <c r="A25" s="1"/>
      <c r="B25" s="29" t="s">
        <v>298</v>
      </c>
      <c r="C25" s="67" t="s">
        <v>299</v>
      </c>
      <c r="D25" s="29">
        <v>5.0</v>
      </c>
      <c r="E25" s="15" t="s">
        <v>300</v>
      </c>
      <c r="F25" s="15" t="s">
        <v>301</v>
      </c>
      <c r="G25" s="15" t="s">
        <v>302</v>
      </c>
      <c r="H25" s="19" t="s">
        <v>44</v>
      </c>
      <c r="I25" s="68" t="s">
        <v>303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75" customHeight="1">
      <c r="A26" s="1"/>
      <c r="B26" s="69"/>
      <c r="C26" s="5" t="s">
        <v>304</v>
      </c>
      <c r="D26" s="5">
        <f>SUM(D18:D25)</f>
        <v>100</v>
      </c>
      <c r="E26" s="70"/>
      <c r="F26" s="70"/>
      <c r="G26" s="70"/>
      <c r="H26" s="70"/>
      <c r="I26" s="7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75" customHeight="1">
      <c r="A27" s="1"/>
      <c r="B27" s="72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1"/>
      <c r="B28" s="72" t="s">
        <v>305</v>
      </c>
      <c r="C28" s="1"/>
      <c r="D28" s="1"/>
      <c r="E28" s="1"/>
      <c r="F28" s="1"/>
      <c r="G28" s="1"/>
      <c r="H28" s="1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75" customHeight="1">
      <c r="A29" s="1"/>
      <c r="B29" s="73" t="s">
        <v>306</v>
      </c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1"/>
      <c r="B30" s="50" t="s">
        <v>307</v>
      </c>
      <c r="C30" s="50" t="s">
        <v>110</v>
      </c>
      <c r="D30" s="50" t="s">
        <v>308</v>
      </c>
      <c r="E30" s="50" t="s">
        <v>309</v>
      </c>
      <c r="F30" s="50" t="s">
        <v>310</v>
      </c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"/>
      <c r="B31" s="74">
        <v>1.0</v>
      </c>
      <c r="C31" s="75" t="s">
        <v>119</v>
      </c>
      <c r="D31" s="76" t="s">
        <v>120</v>
      </c>
      <c r="E31" s="68" t="s">
        <v>311</v>
      </c>
      <c r="F31" s="77" t="s">
        <v>312</v>
      </c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1"/>
      <c r="B32" s="78">
        <v>2.0</v>
      </c>
      <c r="C32" s="79" t="s">
        <v>127</v>
      </c>
      <c r="D32" s="80" t="s">
        <v>120</v>
      </c>
      <c r="E32" s="81" t="s">
        <v>256</v>
      </c>
      <c r="F32" s="82" t="s">
        <v>313</v>
      </c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1"/>
      <c r="B33" s="74">
        <v>3.0</v>
      </c>
      <c r="C33" s="75" t="s">
        <v>132</v>
      </c>
      <c r="D33" s="76" t="s">
        <v>120</v>
      </c>
      <c r="E33" s="68" t="s">
        <v>262</v>
      </c>
      <c r="F33" s="75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1"/>
      <c r="B34" s="78">
        <v>4.0</v>
      </c>
      <c r="C34" s="79" t="s">
        <v>138</v>
      </c>
      <c r="D34" s="80" t="s">
        <v>120</v>
      </c>
      <c r="E34" s="81" t="s">
        <v>298</v>
      </c>
      <c r="F34" s="79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1"/>
      <c r="B35" s="74">
        <v>5.0</v>
      </c>
      <c r="C35" s="75" t="s">
        <v>143</v>
      </c>
      <c r="D35" s="76" t="s">
        <v>120</v>
      </c>
      <c r="E35" s="68" t="s">
        <v>280</v>
      </c>
      <c r="F35" s="83" t="s">
        <v>314</v>
      </c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1"/>
      <c r="B36" s="78">
        <v>6.0</v>
      </c>
      <c r="C36" s="79" t="s">
        <v>149</v>
      </c>
      <c r="D36" s="80" t="s">
        <v>150</v>
      </c>
      <c r="E36" s="81" t="s">
        <v>280</v>
      </c>
      <c r="F36" s="84" t="s">
        <v>314</v>
      </c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1"/>
      <c r="B37" s="74">
        <v>7.0</v>
      </c>
      <c r="C37" s="75" t="s">
        <v>154</v>
      </c>
      <c r="D37" s="76" t="s">
        <v>120</v>
      </c>
      <c r="E37" s="68" t="s">
        <v>292</v>
      </c>
      <c r="F37" s="83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1"/>
      <c r="B38" s="78">
        <v>8.0</v>
      </c>
      <c r="C38" s="79" t="s">
        <v>159</v>
      </c>
      <c r="D38" s="80" t="s">
        <v>150</v>
      </c>
      <c r="E38" s="81" t="s">
        <v>292</v>
      </c>
      <c r="F38" s="84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3.0" customHeight="1">
      <c r="A39" s="1"/>
      <c r="B39" s="74">
        <v>9.0</v>
      </c>
      <c r="C39" s="75" t="s">
        <v>163</v>
      </c>
      <c r="D39" s="76" t="s">
        <v>164</v>
      </c>
      <c r="E39" s="68" t="s">
        <v>274</v>
      </c>
      <c r="F39" s="83" t="s">
        <v>315</v>
      </c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1"/>
      <c r="B40" s="78">
        <v>10.0</v>
      </c>
      <c r="C40" s="79" t="s">
        <v>170</v>
      </c>
      <c r="D40" s="80" t="s">
        <v>120</v>
      </c>
      <c r="E40" s="81" t="s">
        <v>286</v>
      </c>
      <c r="F40" s="84" t="s">
        <v>316</v>
      </c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5.75" customHeight="1">
      <c r="A41" s="1"/>
      <c r="B41" s="74">
        <v>11.0</v>
      </c>
      <c r="C41" s="75" t="s">
        <v>176</v>
      </c>
      <c r="D41" s="76" t="s">
        <v>150</v>
      </c>
      <c r="E41" s="68" t="s">
        <v>286</v>
      </c>
      <c r="F41" s="83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4.5" customHeight="1">
      <c r="A42" s="1"/>
      <c r="B42" s="78">
        <v>12.0</v>
      </c>
      <c r="C42" s="79" t="s">
        <v>182</v>
      </c>
      <c r="D42" s="80" t="s">
        <v>150</v>
      </c>
      <c r="E42" s="81" t="s">
        <v>233</v>
      </c>
      <c r="F42" s="85" t="s">
        <v>317</v>
      </c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3.25" customHeight="1">
      <c r="A43" s="1"/>
      <c r="B43" s="36">
        <v>16.0</v>
      </c>
      <c r="C43" s="86" t="s">
        <v>318</v>
      </c>
      <c r="D43" s="87" t="s">
        <v>120</v>
      </c>
      <c r="E43" s="88" t="s">
        <v>233</v>
      </c>
      <c r="F43" s="87" t="s">
        <v>319</v>
      </c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4.5" customHeight="1">
      <c r="A44" s="1"/>
      <c r="B44" s="36">
        <v>17.0</v>
      </c>
      <c r="C44" s="86" t="s">
        <v>320</v>
      </c>
      <c r="D44" s="87" t="s">
        <v>120</v>
      </c>
      <c r="E44" s="88" t="s">
        <v>280</v>
      </c>
      <c r="F44" s="88" t="s">
        <v>169</v>
      </c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4.5" customHeight="1">
      <c r="A45" s="1"/>
      <c r="B45" s="23" t="s">
        <v>321</v>
      </c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57.0" customHeight="1">
      <c r="A46" s="12"/>
      <c r="B46" s="13" t="s">
        <v>322</v>
      </c>
      <c r="C46" s="13" t="s">
        <v>323</v>
      </c>
      <c r="D46" s="13" t="s">
        <v>324</v>
      </c>
      <c r="E46" s="89" t="s">
        <v>325</v>
      </c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5.75" customHeight="1">
      <c r="A47" s="1"/>
      <c r="B47" s="15" t="s">
        <v>326</v>
      </c>
      <c r="C47" s="29">
        <v>10.0</v>
      </c>
      <c r="D47" s="29">
        <v>10.0</v>
      </c>
      <c r="E47" s="29">
        <v>0.0</v>
      </c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75" customHeight="1">
      <c r="A48" s="1"/>
      <c r="B48" s="15" t="s">
        <v>327</v>
      </c>
      <c r="C48" s="29">
        <v>7.0</v>
      </c>
      <c r="D48" s="29">
        <v>10.0</v>
      </c>
      <c r="E48" s="29">
        <v>3.0</v>
      </c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1"/>
      <c r="B49" s="15" t="s">
        <v>328</v>
      </c>
      <c r="C49" s="29">
        <v>0.0</v>
      </c>
      <c r="D49" s="29">
        <v>5.0</v>
      </c>
      <c r="E49" s="29">
        <v>10.0</v>
      </c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1"/>
      <c r="B50" s="15" t="s">
        <v>329</v>
      </c>
      <c r="C50" s="29">
        <v>10.0</v>
      </c>
      <c r="D50" s="29">
        <v>10.0</v>
      </c>
      <c r="E50" s="29">
        <v>3.0</v>
      </c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1"/>
      <c r="B51" s="15" t="s">
        <v>330</v>
      </c>
      <c r="C51" s="29">
        <v>10.0</v>
      </c>
      <c r="D51" s="29">
        <v>10.0</v>
      </c>
      <c r="E51" s="29">
        <v>10.0</v>
      </c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1"/>
      <c r="B54" s="23" t="s">
        <v>331</v>
      </c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12"/>
      <c r="B55" s="13" t="s">
        <v>332</v>
      </c>
      <c r="C55" s="13" t="s">
        <v>333</v>
      </c>
      <c r="D55" s="13" t="s">
        <v>334</v>
      </c>
      <c r="E55" s="90" t="s">
        <v>335</v>
      </c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3.0" customHeight="1">
      <c r="A56" s="1"/>
      <c r="B56" s="29" t="s">
        <v>336</v>
      </c>
      <c r="C56" s="29" t="s">
        <v>337</v>
      </c>
      <c r="D56" s="15" t="s">
        <v>338</v>
      </c>
      <c r="E56" s="15" t="s">
        <v>339</v>
      </c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29" t="s">
        <v>340</v>
      </c>
      <c r="C57" s="29" t="s">
        <v>341</v>
      </c>
      <c r="D57" s="15" t="s">
        <v>342</v>
      </c>
      <c r="E57" s="15" t="s">
        <v>343</v>
      </c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1"/>
      <c r="B58" s="29" t="s">
        <v>344</v>
      </c>
      <c r="C58" s="29" t="s">
        <v>345</v>
      </c>
      <c r="D58" s="15" t="s">
        <v>346</v>
      </c>
      <c r="E58" s="15" t="s">
        <v>343</v>
      </c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1"/>
      <c r="B59" s="29" t="s">
        <v>347</v>
      </c>
      <c r="C59" s="29" t="s">
        <v>348</v>
      </c>
      <c r="D59" s="15" t="s">
        <v>349</v>
      </c>
      <c r="E59" s="14" t="s">
        <v>350</v>
      </c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45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4.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3.25" customHeight="1">
      <c r="A62" s="1"/>
      <c r="B62" s="23" t="s">
        <v>351</v>
      </c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4.5" customHeight="1">
      <c r="A63" s="12"/>
      <c r="B63" s="12" t="s">
        <v>109</v>
      </c>
      <c r="C63" s="91" t="s">
        <v>28</v>
      </c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4.5" customHeight="1">
      <c r="A64" s="1"/>
      <c r="B64" s="92" t="s">
        <v>352</v>
      </c>
      <c r="C64" s="14" t="s">
        <v>353</v>
      </c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57.0" customHeight="1">
      <c r="A65" s="1"/>
      <c r="B65" s="92" t="s">
        <v>354</v>
      </c>
      <c r="C65" s="30" t="s">
        <v>355</v>
      </c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45.75" customHeight="1">
      <c r="A66" s="1"/>
      <c r="B66" s="92" t="s">
        <v>356</v>
      </c>
      <c r="C66" s="15" t="s">
        <v>357</v>
      </c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0" customHeight="1">
      <c r="A67" s="1"/>
      <c r="B67" s="92" t="s">
        <v>358</v>
      </c>
      <c r="C67" s="15" t="s">
        <v>359</v>
      </c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45.75" customHeight="1">
      <c r="A68" s="1"/>
      <c r="B68" s="92" t="s">
        <v>360</v>
      </c>
      <c r="C68" s="15" t="s">
        <v>361</v>
      </c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4.5" customHeight="1">
      <c r="A69" s="1"/>
      <c r="B69" s="92" t="s">
        <v>362</v>
      </c>
      <c r="C69" s="15" t="s">
        <v>363</v>
      </c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3.25" customHeight="1">
      <c r="A70" s="1"/>
      <c r="B70" s="92" t="s">
        <v>364</v>
      </c>
      <c r="C70" s="15" t="s">
        <v>365</v>
      </c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4.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4.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57.0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45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mergeCells count="5">
    <mergeCell ref="B2:H2"/>
    <mergeCell ref="B3:H3"/>
    <mergeCell ref="B9:F9"/>
    <mergeCell ref="B13:E13"/>
    <mergeCell ref="B14:E14"/>
  </mergeCells>
  <printOptions horizontalCentered="1"/>
  <pageMargins bottom="0.6" footer="0.0" header="0.0" left="0.4" right="0.4" top="0.6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22.0"/>
    <col customWidth="1" min="3" max="3" width="18.0"/>
    <col customWidth="1" min="4" max="4" width="22.0"/>
    <col customWidth="1" min="5" max="5" width="10.0"/>
    <col customWidth="1" min="6" max="6" width="48.0"/>
    <col customWidth="1" min="7" max="7" width="12.0"/>
    <col customWidth="1" min="8" max="8" width="8.71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1"/>
      <c r="B2" s="21" t="s">
        <v>366</v>
      </c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/>
      <c r="B3" s="22" t="s">
        <v>367</v>
      </c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"/>
      <c r="B5" s="23" t="s">
        <v>368</v>
      </c>
      <c r="C5" s="1"/>
      <c r="D5" s="1"/>
      <c r="E5" s="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2"/>
      <c r="B6" s="12" t="s">
        <v>109</v>
      </c>
      <c r="C6" s="12" t="s">
        <v>369</v>
      </c>
      <c r="D6" s="12" t="s">
        <v>370</v>
      </c>
      <c r="E6" s="13" t="s">
        <v>371</v>
      </c>
      <c r="F6" s="13" t="s">
        <v>372</v>
      </c>
      <c r="G6" s="13" t="s">
        <v>54</v>
      </c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8.25" customHeight="1">
      <c r="A7" s="1"/>
      <c r="B7" s="29" t="s">
        <v>373</v>
      </c>
      <c r="C7" s="29" t="s">
        <v>374</v>
      </c>
      <c r="D7" s="29" t="s">
        <v>375</v>
      </c>
      <c r="E7" s="15" t="s">
        <v>376</v>
      </c>
      <c r="F7" s="67" t="s">
        <v>377</v>
      </c>
      <c r="G7" s="18" t="s">
        <v>42</v>
      </c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7.0" customHeight="1">
      <c r="A8" s="1"/>
      <c r="B8" s="29" t="s">
        <v>378</v>
      </c>
      <c r="C8" s="29" t="s">
        <v>374</v>
      </c>
      <c r="D8" s="29" t="s">
        <v>379</v>
      </c>
      <c r="E8" s="15" t="s">
        <v>380</v>
      </c>
      <c r="F8" s="67" t="s">
        <v>377</v>
      </c>
      <c r="G8" s="19" t="s">
        <v>44</v>
      </c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5.75" customHeight="1">
      <c r="A9" s="1"/>
      <c r="B9" s="29" t="s">
        <v>381</v>
      </c>
      <c r="C9" s="29" t="s">
        <v>374</v>
      </c>
      <c r="D9" s="29" t="s">
        <v>382</v>
      </c>
      <c r="E9" s="15" t="s">
        <v>383</v>
      </c>
      <c r="F9" s="67" t="s">
        <v>377</v>
      </c>
      <c r="G9" s="19" t="s">
        <v>44</v>
      </c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7.0" customHeight="1">
      <c r="A10" s="1"/>
      <c r="B10" s="29" t="s">
        <v>384</v>
      </c>
      <c r="C10" s="29" t="s">
        <v>374</v>
      </c>
      <c r="D10" s="29" t="s">
        <v>385</v>
      </c>
      <c r="E10" s="15" t="s">
        <v>386</v>
      </c>
      <c r="F10" s="67" t="s">
        <v>377</v>
      </c>
      <c r="G10" s="19" t="s">
        <v>44</v>
      </c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3.25" customHeight="1">
      <c r="A11" s="1"/>
      <c r="B11" s="29" t="s">
        <v>387</v>
      </c>
      <c r="C11" s="29" t="s">
        <v>388</v>
      </c>
      <c r="D11" s="29" t="s">
        <v>389</v>
      </c>
      <c r="E11" s="14" t="s">
        <v>390</v>
      </c>
      <c r="F11" s="67" t="s">
        <v>377</v>
      </c>
      <c r="G11" s="18" t="s">
        <v>42</v>
      </c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/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"/>
      <c r="B14" s="23" t="s">
        <v>391</v>
      </c>
      <c r="C14" s="1"/>
      <c r="D14" s="1"/>
      <c r="E14" s="1"/>
      <c r="F14" s="1"/>
      <c r="G14" s="1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"/>
      <c r="B15" s="17" t="s">
        <v>392</v>
      </c>
      <c r="C15" s="1"/>
      <c r="D15" s="1"/>
      <c r="E15" s="1"/>
      <c r="F15" s="1"/>
      <c r="G15" s="1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2"/>
      <c r="B16" s="13" t="s">
        <v>393</v>
      </c>
      <c r="C16" s="13" t="s">
        <v>394</v>
      </c>
      <c r="D16" s="13" t="s">
        <v>395</v>
      </c>
      <c r="E16" s="13" t="s">
        <v>122</v>
      </c>
      <c r="F16" s="13" t="s">
        <v>396</v>
      </c>
      <c r="G16" s="1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"/>
      <c r="B17" s="14" t="s">
        <v>397</v>
      </c>
      <c r="C17" s="14" t="s">
        <v>398</v>
      </c>
      <c r="D17" s="14" t="s">
        <v>399</v>
      </c>
      <c r="E17" s="15" t="s">
        <v>122</v>
      </c>
      <c r="F17" s="15" t="s">
        <v>400</v>
      </c>
      <c r="G17" s="1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3.25" customHeight="1">
      <c r="A18" s="1"/>
      <c r="B18" s="14" t="s">
        <v>397</v>
      </c>
      <c r="C18" s="14" t="s">
        <v>401</v>
      </c>
      <c r="D18" s="14" t="s">
        <v>402</v>
      </c>
      <c r="E18" s="15" t="s">
        <v>172</v>
      </c>
      <c r="F18" s="15" t="s">
        <v>403</v>
      </c>
      <c r="G18" s="1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"/>
      <c r="B19" s="14" t="s">
        <v>397</v>
      </c>
      <c r="C19" s="14" t="s">
        <v>404</v>
      </c>
      <c r="D19" s="14" t="s">
        <v>399</v>
      </c>
      <c r="E19" s="15" t="s">
        <v>172</v>
      </c>
      <c r="F19" s="15" t="s">
        <v>405</v>
      </c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"/>
      <c r="B20" s="14" t="s">
        <v>397</v>
      </c>
      <c r="C20" s="14" t="s">
        <v>406</v>
      </c>
      <c r="D20" s="14" t="s">
        <v>407</v>
      </c>
      <c r="E20" s="15" t="s">
        <v>172</v>
      </c>
      <c r="F20" s="15" t="s">
        <v>408</v>
      </c>
      <c r="G20" s="1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1"/>
      <c r="B23" s="17" t="s">
        <v>409</v>
      </c>
      <c r="C23" s="1"/>
      <c r="D23" s="1"/>
      <c r="E23" s="1"/>
      <c r="F23" s="1"/>
      <c r="G23" s="1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12"/>
      <c r="B24" s="13" t="s">
        <v>393</v>
      </c>
      <c r="C24" s="13" t="s">
        <v>394</v>
      </c>
      <c r="D24" s="13" t="s">
        <v>395</v>
      </c>
      <c r="E24" s="13" t="s">
        <v>122</v>
      </c>
      <c r="F24" s="13" t="s">
        <v>396</v>
      </c>
      <c r="G24" s="1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1"/>
      <c r="B25" s="14" t="s">
        <v>397</v>
      </c>
      <c r="C25" s="14" t="s">
        <v>398</v>
      </c>
      <c r="D25" s="14" t="s">
        <v>399</v>
      </c>
      <c r="E25" s="15" t="s">
        <v>122</v>
      </c>
      <c r="F25" s="15" t="s">
        <v>410</v>
      </c>
      <c r="G25" s="1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1"/>
      <c r="B26" s="14" t="s">
        <v>397</v>
      </c>
      <c r="C26" s="14" t="s">
        <v>411</v>
      </c>
      <c r="D26" s="14" t="s">
        <v>412</v>
      </c>
      <c r="E26" s="15" t="s">
        <v>122</v>
      </c>
      <c r="F26" s="15" t="s">
        <v>413</v>
      </c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1"/>
      <c r="B27" s="14" t="s">
        <v>397</v>
      </c>
      <c r="C27" s="14" t="s">
        <v>414</v>
      </c>
      <c r="D27" s="14" t="s">
        <v>399</v>
      </c>
      <c r="E27" s="15" t="s">
        <v>122</v>
      </c>
      <c r="F27" s="15" t="s">
        <v>415</v>
      </c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1"/>
      <c r="B28" s="14" t="s">
        <v>397</v>
      </c>
      <c r="C28" s="14" t="s">
        <v>416</v>
      </c>
      <c r="D28" s="14" t="s">
        <v>417</v>
      </c>
      <c r="E28" s="15" t="s">
        <v>122</v>
      </c>
      <c r="F28" s="15" t="s">
        <v>418</v>
      </c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1"/>
      <c r="B29" s="14" t="s">
        <v>419</v>
      </c>
      <c r="C29" s="14" t="s">
        <v>420</v>
      </c>
      <c r="D29" s="14" t="s">
        <v>399</v>
      </c>
      <c r="E29" s="15" t="s">
        <v>122</v>
      </c>
      <c r="F29" s="14"/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1"/>
      <c r="B30" s="14" t="s">
        <v>419</v>
      </c>
      <c r="C30" s="14" t="s">
        <v>421</v>
      </c>
      <c r="D30" s="14" t="s">
        <v>422</v>
      </c>
      <c r="E30" s="15" t="s">
        <v>122</v>
      </c>
      <c r="F30" s="15" t="s">
        <v>423</v>
      </c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1"/>
      <c r="B31" s="14" t="s">
        <v>419</v>
      </c>
      <c r="C31" s="14" t="s">
        <v>424</v>
      </c>
      <c r="D31" s="14" t="s">
        <v>425</v>
      </c>
      <c r="E31" s="15" t="s">
        <v>122</v>
      </c>
      <c r="F31" s="15" t="s">
        <v>332</v>
      </c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1"/>
      <c r="B32" s="14" t="s">
        <v>419</v>
      </c>
      <c r="C32" s="14" t="s">
        <v>426</v>
      </c>
      <c r="D32" s="14" t="s">
        <v>427</v>
      </c>
      <c r="E32" s="15" t="s">
        <v>122</v>
      </c>
      <c r="F32" s="14" t="s">
        <v>428</v>
      </c>
      <c r="G32" s="1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1"/>
      <c r="B33" s="14" t="s">
        <v>429</v>
      </c>
      <c r="C33" s="14" t="s">
        <v>430</v>
      </c>
      <c r="D33" s="14" t="s">
        <v>399</v>
      </c>
      <c r="E33" s="15" t="s">
        <v>122</v>
      </c>
      <c r="F33" s="14" t="s">
        <v>431</v>
      </c>
      <c r="G33" s="1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1"/>
      <c r="B34" s="14" t="s">
        <v>429</v>
      </c>
      <c r="C34" s="14" t="s">
        <v>432</v>
      </c>
      <c r="D34" s="14" t="s">
        <v>399</v>
      </c>
      <c r="E34" s="15" t="s">
        <v>122</v>
      </c>
      <c r="F34" s="14" t="s">
        <v>433</v>
      </c>
      <c r="G34" s="1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1"/>
      <c r="B35" s="14" t="s">
        <v>429</v>
      </c>
      <c r="C35" s="14" t="s">
        <v>434</v>
      </c>
      <c r="D35" s="14" t="s">
        <v>399</v>
      </c>
      <c r="E35" s="15" t="s">
        <v>122</v>
      </c>
      <c r="F35" s="14" t="s">
        <v>435</v>
      </c>
      <c r="G35" s="1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1"/>
      <c r="B36" s="14" t="s">
        <v>429</v>
      </c>
      <c r="C36" s="14" t="s">
        <v>436</v>
      </c>
      <c r="D36" s="14" t="s">
        <v>399</v>
      </c>
      <c r="E36" s="15" t="s">
        <v>122</v>
      </c>
      <c r="F36" s="14" t="s">
        <v>437</v>
      </c>
      <c r="G36" s="1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1"/>
      <c r="B37" s="14" t="s">
        <v>429</v>
      </c>
      <c r="C37" s="14" t="s">
        <v>438</v>
      </c>
      <c r="D37" s="14" t="s">
        <v>399</v>
      </c>
      <c r="E37" s="15" t="s">
        <v>122</v>
      </c>
      <c r="F37" s="14" t="s">
        <v>439</v>
      </c>
      <c r="G37" s="1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1"/>
      <c r="B38" s="14" t="s">
        <v>429</v>
      </c>
      <c r="C38" s="14" t="s">
        <v>440</v>
      </c>
      <c r="D38" s="14" t="s">
        <v>399</v>
      </c>
      <c r="E38" s="15" t="s">
        <v>122</v>
      </c>
      <c r="F38" s="14" t="s">
        <v>441</v>
      </c>
      <c r="G38" s="1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1"/>
      <c r="B39" s="14" t="s">
        <v>429</v>
      </c>
      <c r="C39" s="14" t="s">
        <v>442</v>
      </c>
      <c r="D39" s="14" t="s">
        <v>399</v>
      </c>
      <c r="E39" s="15" t="s">
        <v>122</v>
      </c>
      <c r="F39" s="14" t="s">
        <v>443</v>
      </c>
      <c r="G39" s="1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1"/>
      <c r="B40" s="14" t="s">
        <v>429</v>
      </c>
      <c r="C40" s="14" t="s">
        <v>444</v>
      </c>
      <c r="D40" s="14" t="s">
        <v>399</v>
      </c>
      <c r="E40" s="15" t="s">
        <v>122</v>
      </c>
      <c r="F40" s="14" t="s">
        <v>445</v>
      </c>
      <c r="G40" s="1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1"/>
      <c r="B41" s="14" t="s">
        <v>419</v>
      </c>
      <c r="C41" s="14" t="s">
        <v>446</v>
      </c>
      <c r="D41" s="14" t="s">
        <v>447</v>
      </c>
      <c r="E41" s="15" t="s">
        <v>122</v>
      </c>
      <c r="F41" s="15" t="s">
        <v>448</v>
      </c>
      <c r="G41" s="1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1"/>
      <c r="B44" s="17" t="s">
        <v>449</v>
      </c>
      <c r="C44" s="1"/>
      <c r="D44" s="1"/>
      <c r="E44" s="1"/>
      <c r="F44" s="1"/>
      <c r="G44" s="1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12"/>
      <c r="B45" s="12" t="s">
        <v>450</v>
      </c>
      <c r="C45" s="12" t="s">
        <v>451</v>
      </c>
      <c r="D45" s="91" t="s">
        <v>371</v>
      </c>
      <c r="E45" s="1"/>
      <c r="F45" s="1"/>
      <c r="G45" s="1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3.25" customHeight="1">
      <c r="A46" s="1"/>
      <c r="B46" s="29" t="s">
        <v>452</v>
      </c>
      <c r="C46" s="29" t="s">
        <v>453</v>
      </c>
      <c r="D46" s="14" t="s">
        <v>454</v>
      </c>
      <c r="E46" s="1"/>
      <c r="F46" s="1"/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3.25" customHeight="1">
      <c r="A47" s="1"/>
      <c r="B47" s="29" t="s">
        <v>455</v>
      </c>
      <c r="C47" s="29" t="s">
        <v>456</v>
      </c>
      <c r="D47" s="15" t="s">
        <v>457</v>
      </c>
      <c r="E47" s="1"/>
      <c r="F47" s="1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3.25" customHeight="1">
      <c r="A48" s="1"/>
      <c r="B48" s="29" t="s">
        <v>458</v>
      </c>
      <c r="C48" s="29" t="s">
        <v>459</v>
      </c>
      <c r="D48" s="15" t="s">
        <v>460</v>
      </c>
      <c r="E48" s="1"/>
      <c r="F48" s="1"/>
      <c r="G48" s="1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3.25" customHeight="1">
      <c r="A49" s="1"/>
      <c r="B49" s="29" t="s">
        <v>461</v>
      </c>
      <c r="C49" s="29" t="s">
        <v>462</v>
      </c>
      <c r="D49" s="14" t="s">
        <v>463</v>
      </c>
      <c r="E49" s="1"/>
      <c r="F49" s="1"/>
      <c r="G49" s="1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4.5" customHeight="1">
      <c r="A50" s="1"/>
      <c r="B50" s="29" t="s">
        <v>464</v>
      </c>
      <c r="C50" s="29" t="s">
        <v>465</v>
      </c>
      <c r="D50" s="14" t="s">
        <v>466</v>
      </c>
      <c r="E50" s="1"/>
      <c r="F50" s="1"/>
      <c r="G50" s="1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1"/>
      <c r="B53" s="23" t="s">
        <v>467</v>
      </c>
      <c r="C53" s="1"/>
      <c r="D53" s="1"/>
      <c r="E53" s="1"/>
      <c r="F53" s="1"/>
      <c r="G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12"/>
      <c r="B54" s="13" t="s">
        <v>51</v>
      </c>
      <c r="C54" s="13" t="s">
        <v>468</v>
      </c>
      <c r="D54" s="1"/>
      <c r="E54" s="1"/>
      <c r="F54" s="1"/>
      <c r="G54" s="1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4.5" customHeight="1">
      <c r="A55" s="1"/>
      <c r="B55" s="15" t="s">
        <v>469</v>
      </c>
      <c r="C55" s="14" t="s">
        <v>470</v>
      </c>
      <c r="D55" s="1"/>
      <c r="E55" s="1"/>
      <c r="F55" s="1"/>
      <c r="G55" s="1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79.5" customHeight="1">
      <c r="A56" s="1"/>
      <c r="B56" s="15" t="s">
        <v>471</v>
      </c>
      <c r="C56" s="14" t="s">
        <v>472</v>
      </c>
      <c r="D56" s="1"/>
      <c r="E56" s="1"/>
      <c r="F56" s="1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5.75" customHeight="1">
      <c r="A57" s="1"/>
      <c r="B57" s="15" t="s">
        <v>473</v>
      </c>
      <c r="C57" s="14" t="s">
        <v>474</v>
      </c>
      <c r="D57" s="1"/>
      <c r="E57" s="1"/>
      <c r="F57" s="1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5.75" customHeight="1">
      <c r="A58" s="1"/>
      <c r="B58" s="15" t="s">
        <v>475</v>
      </c>
      <c r="C58" s="14" t="s">
        <v>476</v>
      </c>
      <c r="D58" s="1"/>
      <c r="E58" s="1"/>
      <c r="F58" s="1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57.0" customHeight="1">
      <c r="A59" s="1"/>
      <c r="B59" s="15" t="s">
        <v>477</v>
      </c>
      <c r="C59" s="14" t="s">
        <v>478</v>
      </c>
      <c r="D59" s="1"/>
      <c r="E59" s="1"/>
      <c r="F59" s="1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4.5" customHeight="1">
      <c r="A60" s="1"/>
      <c r="B60" s="15" t="s">
        <v>85</v>
      </c>
      <c r="C60" s="15" t="s">
        <v>479</v>
      </c>
      <c r="D60" s="1"/>
      <c r="E60" s="1"/>
      <c r="F60" s="1"/>
      <c r="G60" s="1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2">
    <mergeCell ref="B2:G2"/>
    <mergeCell ref="B3:G3"/>
  </mergeCells>
  <printOptions horizontalCentered="1"/>
  <pageMargins bottom="0.6" footer="0.0" header="0.0" left="0.4" right="0.4" top="0.6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22.0"/>
    <col customWidth="1" min="3" max="3" width="56.0"/>
    <col customWidth="1" min="4" max="4" width="30.0"/>
    <col customWidth="1" min="5" max="5" width="24.0"/>
    <col customWidth="1" min="6" max="6" width="22.0"/>
    <col customWidth="1" min="7" max="7" width="18.0"/>
  </cols>
  <sheetData>
    <row r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1"/>
      <c r="B2" s="21" t="s">
        <v>480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/>
      <c r="B3" s="22" t="s">
        <v>481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"/>
      <c r="B5" s="23" t="s">
        <v>482</v>
      </c>
      <c r="C5" s="1"/>
      <c r="D5" s="1"/>
      <c r="E5" s="1"/>
      <c r="F5" s="1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2"/>
      <c r="B6" s="13" t="s">
        <v>483</v>
      </c>
      <c r="C6" s="13" t="s">
        <v>484</v>
      </c>
      <c r="D6" s="13" t="s">
        <v>485</v>
      </c>
      <c r="E6" s="13" t="s">
        <v>486</v>
      </c>
      <c r="F6" s="13" t="s">
        <v>487</v>
      </c>
      <c r="G6" s="93" t="s">
        <v>54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4.5" customHeight="1">
      <c r="A7" s="1"/>
      <c r="B7" s="15" t="s">
        <v>488</v>
      </c>
      <c r="C7" s="15" t="s">
        <v>489</v>
      </c>
      <c r="D7" s="15" t="s">
        <v>490</v>
      </c>
      <c r="E7" s="14" t="s">
        <v>491</v>
      </c>
      <c r="F7" s="14" t="s">
        <v>492</v>
      </c>
      <c r="G7" s="19" t="s">
        <v>493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4.5" customHeight="1">
      <c r="A8" s="1"/>
      <c r="B8" s="15" t="s">
        <v>494</v>
      </c>
      <c r="C8" s="15" t="s">
        <v>495</v>
      </c>
      <c r="D8" s="15" t="s">
        <v>496</v>
      </c>
      <c r="E8" s="14" t="s">
        <v>491</v>
      </c>
      <c r="F8" s="14" t="s">
        <v>497</v>
      </c>
      <c r="G8" s="19" t="s">
        <v>493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4.5" customHeight="1">
      <c r="A9" s="1"/>
      <c r="B9" s="15" t="s">
        <v>498</v>
      </c>
      <c r="C9" s="15" t="s">
        <v>499</v>
      </c>
      <c r="D9" s="15" t="s">
        <v>500</v>
      </c>
      <c r="E9" s="14" t="s">
        <v>501</v>
      </c>
      <c r="F9" s="14" t="s">
        <v>502</v>
      </c>
      <c r="G9" s="19" t="s">
        <v>503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/>
      <c r="B10" s="1"/>
      <c r="C10" s="1"/>
      <c r="D10" s="1"/>
      <c r="E10" s="1"/>
      <c r="F10" s="1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1"/>
      <c r="C11" s="1"/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"/>
      <c r="B12" s="23" t="s">
        <v>504</v>
      </c>
      <c r="C12" s="1"/>
      <c r="D12" s="1"/>
      <c r="E12" s="1"/>
      <c r="F12" s="1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2"/>
      <c r="B13" s="13" t="s">
        <v>51</v>
      </c>
      <c r="C13" s="13" t="s">
        <v>505</v>
      </c>
      <c r="D13" s="93" t="s">
        <v>54</v>
      </c>
      <c r="E13" s="1"/>
      <c r="F13" s="1"/>
      <c r="G13" s="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"/>
      <c r="B14" s="14" t="s">
        <v>506</v>
      </c>
      <c r="C14" s="14" t="s">
        <v>507</v>
      </c>
      <c r="D14" s="18" t="s">
        <v>42</v>
      </c>
      <c r="E14" s="1"/>
      <c r="F14" s="1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"/>
      <c r="B15" s="15" t="s">
        <v>508</v>
      </c>
      <c r="C15" s="14" t="s">
        <v>509</v>
      </c>
      <c r="D15" s="19" t="s">
        <v>44</v>
      </c>
      <c r="E15" s="1"/>
      <c r="F15" s="1"/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"/>
      <c r="B16" s="15" t="s">
        <v>510</v>
      </c>
      <c r="C16" s="14" t="s">
        <v>511</v>
      </c>
      <c r="D16" s="19" t="s">
        <v>44</v>
      </c>
      <c r="E16" s="1"/>
      <c r="F16" s="1"/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"/>
      <c r="B17" s="15" t="s">
        <v>512</v>
      </c>
      <c r="C17" s="15" t="s">
        <v>513</v>
      </c>
      <c r="D17" s="18" t="s">
        <v>42</v>
      </c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"/>
      <c r="B18" s="15" t="s">
        <v>514</v>
      </c>
      <c r="C18" s="14" t="s">
        <v>515</v>
      </c>
      <c r="D18" s="19" t="s">
        <v>44</v>
      </c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"/>
      <c r="B19" s="15" t="s">
        <v>516</v>
      </c>
      <c r="C19" s="15" t="s">
        <v>517</v>
      </c>
      <c r="D19" s="19" t="s">
        <v>44</v>
      </c>
      <c r="E19" s="1"/>
      <c r="F19" s="1"/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3.25" customHeight="1">
      <c r="A20" s="1"/>
      <c r="B20" s="15" t="s">
        <v>518</v>
      </c>
      <c r="C20" s="14" t="s">
        <v>519</v>
      </c>
      <c r="D20" s="19" t="s">
        <v>44</v>
      </c>
      <c r="E20" s="1"/>
      <c r="F20" s="1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3.25" customHeight="1">
      <c r="A21" s="1"/>
      <c r="B21" s="15" t="s">
        <v>520</v>
      </c>
      <c r="C21" s="14" t="s">
        <v>521</v>
      </c>
      <c r="D21" s="18" t="s">
        <v>42</v>
      </c>
      <c r="E21" s="1"/>
      <c r="F21" s="1"/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/>
      <c r="B22" s="1"/>
      <c r="C22" s="1"/>
      <c r="D22" s="1"/>
      <c r="E22" s="1"/>
      <c r="F22" s="1"/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1"/>
      <c r="B24" s="23" t="s">
        <v>522</v>
      </c>
      <c r="C24" s="1"/>
      <c r="D24" s="1"/>
      <c r="E24" s="1"/>
      <c r="F24" s="1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12"/>
      <c r="B25" s="13" t="s">
        <v>523</v>
      </c>
      <c r="C25" s="93" t="s">
        <v>524</v>
      </c>
      <c r="D25" s="1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4.5" customHeight="1">
      <c r="A26" s="1"/>
      <c r="B26" s="14" t="s">
        <v>525</v>
      </c>
      <c r="C26" s="15" t="s">
        <v>526</v>
      </c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4.5" customHeight="1">
      <c r="A27" s="1"/>
      <c r="B27" s="14" t="s">
        <v>527</v>
      </c>
      <c r="C27" s="15" t="s">
        <v>528</v>
      </c>
      <c r="D27" s="1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4.5" customHeight="1">
      <c r="A28" s="1"/>
      <c r="B28" s="14" t="s">
        <v>529</v>
      </c>
      <c r="C28" s="15" t="s">
        <v>530</v>
      </c>
      <c r="D28" s="1"/>
      <c r="E28" s="1"/>
      <c r="F28" s="1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4.5" customHeight="1">
      <c r="A29" s="1"/>
      <c r="B29" s="14" t="s">
        <v>531</v>
      </c>
      <c r="C29" s="15" t="s">
        <v>532</v>
      </c>
      <c r="D29" s="1"/>
      <c r="E29" s="1"/>
      <c r="F29" s="1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1"/>
      <c r="C30" s="1"/>
      <c r="D30" s="1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/>
      <c r="B31" s="1"/>
      <c r="C31" s="1"/>
      <c r="D31" s="1"/>
      <c r="E31" s="1"/>
      <c r="F31" s="1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1"/>
      <c r="B32" s="23" t="s">
        <v>533</v>
      </c>
      <c r="C32" s="1"/>
      <c r="D32" s="1"/>
      <c r="E32" s="1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12"/>
      <c r="B33" s="93" t="s">
        <v>534</v>
      </c>
      <c r="C33" s="93" t="s">
        <v>468</v>
      </c>
      <c r="D33" s="1"/>
      <c r="E33" s="1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4.5" customHeight="1">
      <c r="A34" s="1"/>
      <c r="B34" s="15" t="s">
        <v>535</v>
      </c>
      <c r="C34" s="15" t="s">
        <v>536</v>
      </c>
      <c r="D34" s="1"/>
      <c r="E34" s="1"/>
      <c r="F34" s="1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3.25" customHeight="1">
      <c r="A35" s="1"/>
      <c r="B35" s="15" t="s">
        <v>537</v>
      </c>
      <c r="C35" s="15" t="s">
        <v>538</v>
      </c>
      <c r="D35" s="1"/>
      <c r="E35" s="1"/>
      <c r="F35" s="1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4.5" customHeight="1">
      <c r="A36" s="1"/>
      <c r="B36" s="15" t="s">
        <v>539</v>
      </c>
      <c r="C36" s="14" t="s">
        <v>540</v>
      </c>
      <c r="D36" s="1"/>
      <c r="E36" s="1"/>
      <c r="F36" s="1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1"/>
      <c r="B37" s="15" t="s">
        <v>541</v>
      </c>
      <c r="C37" s="15" t="s">
        <v>542</v>
      </c>
      <c r="D37" s="1"/>
      <c r="E37" s="1"/>
      <c r="F37" s="1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3.25" customHeight="1">
      <c r="A38" s="1"/>
      <c r="B38" s="15" t="s">
        <v>543</v>
      </c>
      <c r="C38" s="14" t="s">
        <v>544</v>
      </c>
      <c r="D38" s="1"/>
      <c r="E38" s="1"/>
      <c r="F38" s="1"/>
      <c r="G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53.25" customHeight="1">
      <c r="A39" s="1"/>
      <c r="B39" s="1"/>
      <c r="C39" s="1"/>
      <c r="D39" s="1"/>
      <c r="E39" s="1"/>
      <c r="F39" s="1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1"/>
      <c r="B40" s="23" t="s">
        <v>545</v>
      </c>
      <c r="C40" s="1"/>
      <c r="D40" s="1"/>
      <c r="E40" s="1"/>
      <c r="F40" s="1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1"/>
      <c r="B41" s="94" t="s">
        <v>546</v>
      </c>
      <c r="C41" s="1"/>
      <c r="D41" s="1"/>
      <c r="E41" s="1"/>
      <c r="F41" s="1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1"/>
      <c r="E42" s="1"/>
      <c r="F42" s="1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8.0" customHeight="1">
      <c r="A43" s="1"/>
      <c r="B43" s="50" t="s">
        <v>534</v>
      </c>
      <c r="C43" s="95" t="s">
        <v>547</v>
      </c>
      <c r="D43" s="95" t="s">
        <v>548</v>
      </c>
      <c r="E43" s="50" t="s">
        <v>549</v>
      </c>
      <c r="F43" s="1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8.0" customHeight="1">
      <c r="A44" s="1"/>
      <c r="B44" s="96" t="s">
        <v>550</v>
      </c>
      <c r="C44" s="97" t="s">
        <v>551</v>
      </c>
      <c r="D44" s="75" t="s">
        <v>552</v>
      </c>
      <c r="E44" s="83" t="s">
        <v>553</v>
      </c>
      <c r="F44" s="1"/>
      <c r="G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8.0" customHeight="1">
      <c r="A45" s="1"/>
      <c r="B45" s="98" t="s">
        <v>554</v>
      </c>
      <c r="C45" s="97" t="s">
        <v>555</v>
      </c>
      <c r="D45" s="84" t="s">
        <v>556</v>
      </c>
      <c r="E45" s="79" t="s">
        <v>557</v>
      </c>
      <c r="F45" s="1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8.0" customHeight="1">
      <c r="A46" s="1"/>
      <c r="B46" s="96" t="s">
        <v>558</v>
      </c>
      <c r="C46" s="99" t="s">
        <v>559</v>
      </c>
      <c r="D46" s="83" t="s">
        <v>560</v>
      </c>
      <c r="E46" s="83" t="s">
        <v>561</v>
      </c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8.0" customHeight="1">
      <c r="A47" s="1"/>
      <c r="B47" s="98" t="s">
        <v>562</v>
      </c>
      <c r="C47" s="97" t="s">
        <v>563</v>
      </c>
      <c r="D47" s="84" t="s">
        <v>564</v>
      </c>
      <c r="E47" s="79" t="s">
        <v>565</v>
      </c>
      <c r="F47" s="1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8.0" customHeight="1">
      <c r="A48" s="1"/>
      <c r="B48" s="96" t="s">
        <v>543</v>
      </c>
      <c r="C48" s="97" t="s">
        <v>566</v>
      </c>
      <c r="D48" s="75" t="s">
        <v>567</v>
      </c>
      <c r="E48" s="83" t="s">
        <v>568</v>
      </c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8.0" customHeight="1">
      <c r="A49" s="1"/>
      <c r="B49" s="98" t="s">
        <v>569</v>
      </c>
      <c r="C49" s="97" t="s">
        <v>570</v>
      </c>
      <c r="D49" s="79" t="s">
        <v>571</v>
      </c>
      <c r="E49" s="79" t="s">
        <v>572</v>
      </c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48.0" customHeight="1">
      <c r="A50" s="1"/>
      <c r="B50" s="96" t="s">
        <v>573</v>
      </c>
      <c r="C50" s="97" t="s">
        <v>574</v>
      </c>
      <c r="D50" s="83" t="s">
        <v>575</v>
      </c>
      <c r="E50" s="83" t="s">
        <v>576</v>
      </c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55.5" customHeight="1">
      <c r="A51" s="1"/>
      <c r="B51" s="100" t="s">
        <v>577</v>
      </c>
      <c r="C51" s="101" t="s">
        <v>578</v>
      </c>
      <c r="D51" s="102"/>
      <c r="E51" s="103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1"/>
      <c r="C52" s="1"/>
      <c r="D52" s="1"/>
      <c r="E52" s="1"/>
      <c r="F52" s="1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1"/>
      <c r="C55" s="1"/>
      <c r="D55" s="1"/>
      <c r="E55" s="1"/>
      <c r="F55" s="1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1"/>
      <c r="C56" s="1"/>
      <c r="D56" s="1"/>
      <c r="E56" s="1"/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mergeCells count="3">
    <mergeCell ref="B2:G2"/>
    <mergeCell ref="B3:G3"/>
    <mergeCell ref="C51:E51"/>
  </mergeCells>
  <printOptions horizontalCentered="1"/>
  <pageMargins bottom="0.6" footer="0.0" header="0.0" left="0.4" right="0.4" top="0.6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.0"/>
    <col customWidth="1" min="3" max="3" width="10.0"/>
    <col customWidth="1" min="4" max="4" width="32.0"/>
    <col customWidth="1" min="5" max="5" width="50.0"/>
    <col customWidth="1" min="6" max="6" width="35.0"/>
    <col customWidth="1" min="7" max="7" width="12.0"/>
    <col customWidth="1" min="8" max="8" width="7.0"/>
    <col customWidth="1" min="9" max="9" width="22.0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104" t="s">
        <v>579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05" t="s">
        <v>580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6" t="s">
        <v>109</v>
      </c>
      <c r="C5" s="106" t="s">
        <v>581</v>
      </c>
      <c r="D5" s="106" t="s">
        <v>582</v>
      </c>
      <c r="E5" s="107" t="s">
        <v>583</v>
      </c>
      <c r="F5" s="106" t="s">
        <v>584</v>
      </c>
      <c r="G5" s="106" t="s">
        <v>117</v>
      </c>
      <c r="H5" s="106" t="s">
        <v>585</v>
      </c>
      <c r="I5" s="106" t="s">
        <v>54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0.0" customHeight="1">
      <c r="A6" s="2"/>
      <c r="B6" s="108" t="s">
        <v>586</v>
      </c>
      <c r="C6" s="108" t="s">
        <v>587</v>
      </c>
      <c r="D6" s="108" t="s">
        <v>588</v>
      </c>
      <c r="E6" s="108" t="s">
        <v>589</v>
      </c>
      <c r="F6" s="108" t="s">
        <v>590</v>
      </c>
      <c r="G6" s="108" t="s">
        <v>591</v>
      </c>
      <c r="H6" s="108" t="s">
        <v>592</v>
      </c>
      <c r="I6" s="108" t="s">
        <v>593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0.0" customHeight="1">
      <c r="A7" s="2"/>
      <c r="B7" s="108" t="s">
        <v>594</v>
      </c>
      <c r="C7" s="108" t="s">
        <v>587</v>
      </c>
      <c r="D7" s="108" t="s">
        <v>595</v>
      </c>
      <c r="E7" s="108" t="s">
        <v>596</v>
      </c>
      <c r="F7" s="108" t="s">
        <v>590</v>
      </c>
      <c r="G7" s="108" t="s">
        <v>63</v>
      </c>
      <c r="H7" s="108" t="s">
        <v>592</v>
      </c>
      <c r="I7" s="108" t="s">
        <v>593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0.0" customHeight="1">
      <c r="A8" s="2"/>
      <c r="B8" s="108" t="s">
        <v>597</v>
      </c>
      <c r="C8" s="108" t="s">
        <v>587</v>
      </c>
      <c r="D8" s="108" t="s">
        <v>598</v>
      </c>
      <c r="E8" s="109" t="s">
        <v>599</v>
      </c>
      <c r="F8" s="108" t="s">
        <v>600</v>
      </c>
      <c r="G8" s="108" t="s">
        <v>601</v>
      </c>
      <c r="H8" s="108" t="s">
        <v>592</v>
      </c>
      <c r="I8" s="108" t="s">
        <v>602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0.0" customHeight="1">
      <c r="A9" s="2"/>
      <c r="B9" s="108" t="s">
        <v>603</v>
      </c>
      <c r="C9" s="108" t="s">
        <v>604</v>
      </c>
      <c r="D9" s="108" t="s">
        <v>605</v>
      </c>
      <c r="E9" s="108" t="s">
        <v>606</v>
      </c>
      <c r="F9" s="108" t="s">
        <v>607</v>
      </c>
      <c r="G9" s="108" t="s">
        <v>608</v>
      </c>
      <c r="H9" s="108" t="s">
        <v>592</v>
      </c>
      <c r="I9" s="110" t="s">
        <v>609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0.0" customHeight="1">
      <c r="A10" s="2"/>
      <c r="B10" s="108" t="s">
        <v>610</v>
      </c>
      <c r="C10" s="108" t="s">
        <v>604</v>
      </c>
      <c r="D10" s="108" t="s">
        <v>611</v>
      </c>
      <c r="E10" s="108" t="s">
        <v>612</v>
      </c>
      <c r="F10" s="108" t="s">
        <v>613</v>
      </c>
      <c r="G10" s="108" t="s">
        <v>614</v>
      </c>
      <c r="H10" s="108" t="s">
        <v>592</v>
      </c>
      <c r="I10" s="110" t="s">
        <v>615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0.0" customHeight="1">
      <c r="A11" s="2"/>
      <c r="B11" s="108" t="s">
        <v>616</v>
      </c>
      <c r="C11" s="108" t="s">
        <v>604</v>
      </c>
      <c r="D11" s="108" t="s">
        <v>617</v>
      </c>
      <c r="E11" s="108" t="s">
        <v>618</v>
      </c>
      <c r="F11" s="108" t="s">
        <v>619</v>
      </c>
      <c r="G11" s="108" t="s">
        <v>152</v>
      </c>
      <c r="H11" s="108" t="s">
        <v>592</v>
      </c>
      <c r="I11" s="111" t="s">
        <v>620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0.0" customHeight="1">
      <c r="A12" s="2"/>
      <c r="B12" s="108" t="s">
        <v>621</v>
      </c>
      <c r="C12" s="108" t="s">
        <v>622</v>
      </c>
      <c r="D12" s="108" t="s">
        <v>623</v>
      </c>
      <c r="E12" s="108" t="s">
        <v>624</v>
      </c>
      <c r="F12" s="108" t="s">
        <v>625</v>
      </c>
      <c r="G12" s="108" t="s">
        <v>626</v>
      </c>
      <c r="H12" s="108" t="s">
        <v>592</v>
      </c>
      <c r="I12" s="111" t="s">
        <v>627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0.0" customHeight="1">
      <c r="A13" s="2"/>
      <c r="B13" s="108" t="s">
        <v>628</v>
      </c>
      <c r="C13" s="108" t="s">
        <v>622</v>
      </c>
      <c r="D13" s="108" t="s">
        <v>629</v>
      </c>
      <c r="E13" s="108" t="s">
        <v>630</v>
      </c>
      <c r="F13" s="108" t="s">
        <v>631</v>
      </c>
      <c r="G13" s="108" t="s">
        <v>614</v>
      </c>
      <c r="H13" s="108" t="s">
        <v>592</v>
      </c>
      <c r="I13" s="111" t="s">
        <v>632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0" customHeight="1">
      <c r="A14" s="2"/>
      <c r="B14" s="108" t="s">
        <v>633</v>
      </c>
      <c r="C14" s="108" t="s">
        <v>622</v>
      </c>
      <c r="D14" s="108" t="s">
        <v>634</v>
      </c>
      <c r="E14" s="108" t="s">
        <v>635</v>
      </c>
      <c r="F14" s="108" t="s">
        <v>636</v>
      </c>
      <c r="G14" s="108" t="s">
        <v>637</v>
      </c>
      <c r="H14" s="108" t="s">
        <v>592</v>
      </c>
      <c r="I14" s="108" t="s">
        <v>638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0.0" customHeight="1">
      <c r="A15" s="2"/>
      <c r="B15" s="108" t="s">
        <v>639</v>
      </c>
      <c r="C15" s="108" t="s">
        <v>640</v>
      </c>
      <c r="D15" s="109" t="s">
        <v>641</v>
      </c>
      <c r="E15" s="108" t="s">
        <v>642</v>
      </c>
      <c r="F15" s="108" t="s">
        <v>643</v>
      </c>
      <c r="G15" s="108" t="s">
        <v>644</v>
      </c>
      <c r="H15" s="108" t="s">
        <v>645</v>
      </c>
      <c r="I15" s="111" t="s">
        <v>646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0" customHeight="1">
      <c r="A16" s="2"/>
      <c r="B16" s="108" t="s">
        <v>647</v>
      </c>
      <c r="C16" s="108" t="s">
        <v>648</v>
      </c>
      <c r="D16" s="108" t="s">
        <v>649</v>
      </c>
      <c r="E16" s="108" t="s">
        <v>650</v>
      </c>
      <c r="F16" s="108" t="s">
        <v>651</v>
      </c>
      <c r="G16" s="108" t="s">
        <v>652</v>
      </c>
      <c r="H16" s="108" t="s">
        <v>645</v>
      </c>
      <c r="I16" s="111" t="s">
        <v>653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0" customHeight="1">
      <c r="A17" s="2"/>
      <c r="B17" s="108" t="s">
        <v>654</v>
      </c>
      <c r="C17" s="108" t="s">
        <v>648</v>
      </c>
      <c r="D17" s="108" t="s">
        <v>655</v>
      </c>
      <c r="E17" s="108" t="s">
        <v>656</v>
      </c>
      <c r="F17" s="108" t="s">
        <v>657</v>
      </c>
      <c r="G17" s="108" t="s">
        <v>652</v>
      </c>
      <c r="H17" s="108" t="s">
        <v>645</v>
      </c>
      <c r="I17" s="111" t="s">
        <v>653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0.0" customHeight="1">
      <c r="A18" s="2"/>
      <c r="B18" s="108" t="s">
        <v>658</v>
      </c>
      <c r="C18" s="108" t="s">
        <v>622</v>
      </c>
      <c r="D18" s="108" t="s">
        <v>659</v>
      </c>
      <c r="E18" s="108" t="s">
        <v>660</v>
      </c>
      <c r="F18" s="108" t="s">
        <v>661</v>
      </c>
      <c r="G18" s="108" t="s">
        <v>662</v>
      </c>
      <c r="H18" s="108" t="s">
        <v>592</v>
      </c>
      <c r="I18" s="111" t="s">
        <v>663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0.0" customHeight="1">
      <c r="A19" s="2"/>
      <c r="B19" s="108" t="s">
        <v>664</v>
      </c>
      <c r="C19" s="108" t="s">
        <v>665</v>
      </c>
      <c r="D19" s="108" t="s">
        <v>666</v>
      </c>
      <c r="E19" s="108" t="s">
        <v>667</v>
      </c>
      <c r="F19" s="108" t="s">
        <v>668</v>
      </c>
      <c r="G19" s="108" t="s">
        <v>669</v>
      </c>
      <c r="H19" s="108" t="s">
        <v>645</v>
      </c>
      <c r="I19" s="108" t="s">
        <v>602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0.0" customHeight="1">
      <c r="A20" s="2"/>
      <c r="B20" s="109" t="s">
        <v>670</v>
      </c>
      <c r="C20" s="108" t="s">
        <v>622</v>
      </c>
      <c r="D20" s="108" t="s">
        <v>671</v>
      </c>
      <c r="E20" s="108" t="s">
        <v>672</v>
      </c>
      <c r="F20" s="108" t="s">
        <v>673</v>
      </c>
      <c r="G20" s="108" t="s">
        <v>608</v>
      </c>
      <c r="H20" s="108" t="s">
        <v>592</v>
      </c>
      <c r="I20" s="111" t="s">
        <v>674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83.25" customHeight="1">
      <c r="A21" s="2"/>
      <c r="B21" s="112"/>
      <c r="C21" s="112"/>
      <c r="D21" s="112"/>
      <c r="E21" s="112"/>
      <c r="F21" s="112"/>
      <c r="G21" s="112"/>
      <c r="H21" s="112"/>
      <c r="I21" s="11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2"/>
      <c r="B22" s="113" t="s">
        <v>675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0.0" customHeight="1">
      <c r="A23" s="2"/>
      <c r="B23" s="108" t="s">
        <v>676</v>
      </c>
      <c r="C23" s="108" t="s">
        <v>587</v>
      </c>
      <c r="D23" s="108" t="s">
        <v>677</v>
      </c>
      <c r="E23" s="108" t="s">
        <v>678</v>
      </c>
      <c r="F23" s="108" t="s">
        <v>679</v>
      </c>
      <c r="G23" s="108" t="s">
        <v>88</v>
      </c>
      <c r="H23" s="108" t="s">
        <v>645</v>
      </c>
      <c r="I23" s="108" t="s">
        <v>680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0.0" customHeight="1">
      <c r="A24" s="2"/>
      <c r="B24" s="108" t="s">
        <v>681</v>
      </c>
      <c r="C24" s="108" t="s">
        <v>622</v>
      </c>
      <c r="D24" s="108" t="s">
        <v>682</v>
      </c>
      <c r="E24" s="108" t="s">
        <v>683</v>
      </c>
      <c r="F24" s="108" t="s">
        <v>684</v>
      </c>
      <c r="G24" s="108" t="s">
        <v>180</v>
      </c>
      <c r="H24" s="108" t="s">
        <v>645</v>
      </c>
      <c r="I24" s="108" t="s">
        <v>680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0.0" customHeight="1">
      <c r="A25" s="2"/>
      <c r="B25" s="108" t="s">
        <v>685</v>
      </c>
      <c r="C25" s="108" t="s">
        <v>648</v>
      </c>
      <c r="D25" s="108" t="s">
        <v>686</v>
      </c>
      <c r="E25" s="108" t="s">
        <v>687</v>
      </c>
      <c r="F25" s="108" t="s">
        <v>688</v>
      </c>
      <c r="G25" s="108" t="s">
        <v>591</v>
      </c>
      <c r="H25" s="108" t="s">
        <v>592</v>
      </c>
      <c r="I25" s="108" t="s">
        <v>680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0.0" customHeight="1">
      <c r="A26" s="2"/>
      <c r="B26" s="108" t="s">
        <v>689</v>
      </c>
      <c r="C26" s="108" t="s">
        <v>648</v>
      </c>
      <c r="D26" s="108" t="s">
        <v>690</v>
      </c>
      <c r="E26" s="108" t="s">
        <v>691</v>
      </c>
      <c r="F26" s="108" t="s">
        <v>692</v>
      </c>
      <c r="G26" s="108" t="s">
        <v>591</v>
      </c>
      <c r="H26" s="108" t="s">
        <v>645</v>
      </c>
      <c r="I26" s="108" t="s">
        <v>680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60.0" customHeight="1">
      <c r="A27" s="2"/>
      <c r="B27" s="108" t="s">
        <v>693</v>
      </c>
      <c r="C27" s="108" t="s">
        <v>648</v>
      </c>
      <c r="D27" s="108" t="s">
        <v>694</v>
      </c>
      <c r="E27" s="108" t="s">
        <v>695</v>
      </c>
      <c r="F27" s="108" t="s">
        <v>696</v>
      </c>
      <c r="G27" s="108" t="s">
        <v>652</v>
      </c>
      <c r="H27" s="108" t="s">
        <v>645</v>
      </c>
      <c r="I27" s="108" t="s">
        <v>680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2"/>
      <c r="B28" s="108" t="s">
        <v>697</v>
      </c>
      <c r="C28" s="108" t="s">
        <v>604</v>
      </c>
      <c r="D28" s="108" t="s">
        <v>698</v>
      </c>
      <c r="E28" s="108" t="s">
        <v>699</v>
      </c>
      <c r="F28" s="108" t="s">
        <v>700</v>
      </c>
      <c r="G28" s="108" t="s">
        <v>591</v>
      </c>
      <c r="H28" s="108" t="s">
        <v>645</v>
      </c>
      <c r="I28" s="108" t="s">
        <v>680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3">
    <mergeCell ref="B2:I2"/>
    <mergeCell ref="B3:I3"/>
    <mergeCell ref="B22:I2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2026-04-17T06:27:01Z</dcterms:created>
  <dc:creator>openpyxl</dc:creator>
</cp:coreProperties>
</file>